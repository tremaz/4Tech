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cc67239\Desktop\"/>
    </mc:Choice>
  </mc:AlternateContent>
  <xr:revisionPtr revIDLastSave="0" documentId="13_ncr:1_{C0FE1CF7-09A1-427A-B5AC-83B66AA22EF6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Índice" sheetId="5" r:id="rId1"/>
    <sheet name="Análise_GerCorp" sheetId="10" r:id="rId2"/>
    <sheet name="Relatorio" sheetId="1" r:id="rId3"/>
    <sheet name="Meta_Corp" sheetId="8" r:id="rId4"/>
  </sheets>
  <definedNames>
    <definedName name="_xlnm._FilterDatabase" localSheetId="2" hidden="1">Relatorio!$A$7:$R$527</definedName>
    <definedName name="SegmentaçãodeDados_ESTADO1">#N/A</definedName>
    <definedName name="SegmentaçãodeDados_Gerência1">#N/A</definedName>
    <definedName name="SegmentaçãodeDados_Liderança_Corporativa1">#N/A</definedName>
    <definedName name="SegmentaçãodeDados_Liderança_Imediata1">#N/A</definedName>
    <definedName name="SegmentaçãodeDados_UNIDADE1">#N/A</definedName>
  </definedNames>
  <calcPr calcId="191028"/>
  <pivotCaches>
    <pivotCache cacheId="33" r:id="rId5"/>
    <pivotCache cacheId="4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8" l="1"/>
  <c r="J1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tc={CE30100E-E0CE-41A8-9481-1F10509A89A1}</author>
  </authors>
  <commentList>
    <comment ref="F13" authorId="0" shapeId="0" xr:uid="{CE30100E-E0CE-41A8-9481-1F10509A89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detalhar o andamento de cada colaborador na trilha, dê 2 cliques no total desta coluna por gerência.</t>
      </text>
    </comment>
  </commentList>
</comments>
</file>

<file path=xl/sharedStrings.xml><?xml version="1.0" encoding="utf-8"?>
<sst xmlns="http://schemas.openxmlformats.org/spreadsheetml/2006/main" count="7218" uniqueCount="2758">
  <si>
    <t>Relatório</t>
  </si>
  <si>
    <t>STATUS DOS COLABORADORES NA TRILHA | QUANTIDADE POR GERÊNCIA CORP.</t>
  </si>
  <si>
    <t>Contagem de Status Trilha</t>
  </si>
  <si>
    <t>-</t>
  </si>
  <si>
    <t>Gerência Corporativa</t>
  </si>
  <si>
    <t>Concluído</t>
  </si>
  <si>
    <t>Cursando</t>
  </si>
  <si>
    <t>Total Geral</t>
  </si>
  <si>
    <t>GERÊNCIA CORPORATIVA DE CUSTOMER SERVICE</t>
  </si>
  <si>
    <t>GERÊNCIA CORPORATIVA DE LOGÍSTICA E EXCELÊNCIA</t>
  </si>
  <si>
    <t>GERÊNCIA DE CUSTOS E ORÇAMENTO LOGÍSTICA</t>
  </si>
  <si>
    <t>GERÊNCIA EXECUTIVA DE PLANEJAMENTO INTEGRADO</t>
  </si>
  <si>
    <t>GERÊNCIA NACIONAL DE DISTRIBUIÇÃO</t>
  </si>
  <si>
    <t>Análise dinâmica</t>
  </si>
  <si>
    <t>Nome</t>
  </si>
  <si>
    <t>CARGO</t>
  </si>
  <si>
    <t>FAMÍLIA DE CARGO</t>
  </si>
  <si>
    <t>CENTRO DE CUSTO</t>
  </si>
  <si>
    <t>UNIDADE</t>
  </si>
  <si>
    <t>ESTADO</t>
  </si>
  <si>
    <t>GERÊNCIA CORPORATIVA</t>
  </si>
  <si>
    <t>LIDERANÇA CORPORATIVA</t>
  </si>
  <si>
    <t>GERÊNCIA</t>
  </si>
  <si>
    <t>LIDERANÇA IMEDIATA</t>
  </si>
  <si>
    <t>Status Assessment</t>
  </si>
  <si>
    <t>Cursos e Conteúdos da Trilha Recomendada</t>
  </si>
  <si>
    <t>Status</t>
  </si>
  <si>
    <t>Status Trilha</t>
  </si>
  <si>
    <t>Carga Horária Total</t>
  </si>
  <si>
    <t>Carga Horária Cursada</t>
  </si>
  <si>
    <t xml:space="preserve">Problema na plataforma? </t>
  </si>
  <si>
    <t>OBSERVAÇÃO</t>
  </si>
  <si>
    <t>SUPERVISOR DE LOGISTICA</t>
  </si>
  <si>
    <t>SUPERVISOR</t>
  </si>
  <si>
    <t>CEARA</t>
  </si>
  <si>
    <t>TRANSP DISTRIBUIÇÃO - DENTRO DO ESTADO</t>
  </si>
  <si>
    <t>ANALISTA DE LOGÍSTICA</t>
  </si>
  <si>
    <t>PROFISSIONAIS_I</t>
  </si>
  <si>
    <t>JASMINE</t>
  </si>
  <si>
    <t>LOGISTICA SP (CORPORATIVO)</t>
  </si>
  <si>
    <t>Não atualizar</t>
  </si>
  <si>
    <t>BAHIA</t>
  </si>
  <si>
    <t>ALMOXARIFADO DE PRODUTO ACABADO</t>
  </si>
  <si>
    <t>PERNAMBUCO</t>
  </si>
  <si>
    <t>Sim</t>
  </si>
  <si>
    <t>ANALISTA DE PLANEJ LOGIST I</t>
  </si>
  <si>
    <t>SUPPLY CHAIN</t>
  </si>
  <si>
    <t>ASSISTENTE ADMINISTRATIVO</t>
  </si>
  <si>
    <t>ASSISTENTE</t>
  </si>
  <si>
    <t>RIO DE JANEIRO</t>
  </si>
  <si>
    <t>DISTRIBUIÇÃO</t>
  </si>
  <si>
    <t>ANALISTA DE LOGISTICA I</t>
  </si>
  <si>
    <t>REGIONAL DE LOGÍSTICA SUPORTE REGIONAL</t>
  </si>
  <si>
    <t>ASSISTENTE DE OP LOGISTICA II</t>
  </si>
  <si>
    <t>FATURAMENTO</t>
  </si>
  <si>
    <t>ALMOXARIFADO DE PRODUTO ACABADO SUPORTE</t>
  </si>
  <si>
    <t>ANALISTA DE LOGISTICA II</t>
  </si>
  <si>
    <t>PROFISSIONAIS_II</t>
  </si>
  <si>
    <t>GESTÃO DA PERFORMANCE</t>
  </si>
  <si>
    <t>CENTRAL DE DEVOLUÇÕES</t>
  </si>
  <si>
    <t>ANALISTA DE CUSTOMER SERVICE I</t>
  </si>
  <si>
    <t>CUSTOMER SERVICE INTERNO</t>
  </si>
  <si>
    <t>COORDENADOR DE LOGISTICA</t>
  </si>
  <si>
    <t>COORDENADOR</t>
  </si>
  <si>
    <t>GESTÃO DE TRANSPORTES</t>
  </si>
  <si>
    <t>ANALISTA DE PCP JR</t>
  </si>
  <si>
    <t>GERÊNCIA INDUSTRIAL JASMINE</t>
  </si>
  <si>
    <t>ASSISTENTE DE OP LOGISTICA I</t>
  </si>
  <si>
    <t>CENTRAL DE PAGAMENTOS</t>
  </si>
  <si>
    <t>RIO GRANDE DO NORTE</t>
  </si>
  <si>
    <t>RIO GRANDE DO SUL</t>
  </si>
  <si>
    <t>CENTRAL DE MONITORAMENTO</t>
  </si>
  <si>
    <t>CUSTOS LOGÍSTICOS E ORÇAMENTO</t>
  </si>
  <si>
    <t>ANALISTA DE PLANEJ LOGIST III</t>
  </si>
  <si>
    <t>PROFISSIONAIS_III</t>
  </si>
  <si>
    <t>SAO PAULO</t>
  </si>
  <si>
    <t>PLANEJAMENTO INTEGRADO</t>
  </si>
  <si>
    <t>ANALISTA DE CUSTOMER SERVICE II</t>
  </si>
  <si>
    <t>ESPECIALISTA DE LOGISTICA</t>
  </si>
  <si>
    <t>ESPECIALISTA</t>
  </si>
  <si>
    <t>OPERAÇÕES LOGÍSTICAS - SÃO CAETANO SUL</t>
  </si>
  <si>
    <t>MELHORIA CONTÍNUA</t>
  </si>
  <si>
    <t>MARANHAO</t>
  </si>
  <si>
    <t>ANALISTA DE PLANEJ LOGIST II</t>
  </si>
  <si>
    <t>GERENTE CORPORATIVO LOGISTICA</t>
  </si>
  <si>
    <t>GERENTE</t>
  </si>
  <si>
    <t>PLANEJAMENTO ESTRATÉGICO</t>
  </si>
  <si>
    <t>ESPIRITO SANTO</t>
  </si>
  <si>
    <t>ASSISTENTE DE OP LOGISTICA III</t>
  </si>
  <si>
    <t>PARAIBA</t>
  </si>
  <si>
    <t>ASSISTENTE DE CUSTOMER SERVICE</t>
  </si>
  <si>
    <t>ASSISTENTE_ESPECIFICO</t>
  </si>
  <si>
    <t>CUSTOMER SERVICE EXTERNO</t>
  </si>
  <si>
    <t>GERENTE DE CUSTOMER SERVICE</t>
  </si>
  <si>
    <t>MINAS GERAIS</t>
  </si>
  <si>
    <t>EXPEDIÇÃO VERTICALIZADAS</t>
  </si>
  <si>
    <t>LIDER DE LOGISTICA</t>
  </si>
  <si>
    <t>LIDER_OPERACIONAL</t>
  </si>
  <si>
    <t>ANALISTA DE CUSTOMER SERVICE III</t>
  </si>
  <si>
    <t>COORDENADOR DE PLANEJAMENTO LOGISTI</t>
  </si>
  <si>
    <t>DEMANDA</t>
  </si>
  <si>
    <t>CENTRAL DE ROTEIRIZAÇÃO</t>
  </si>
  <si>
    <t>GERENTE REGIONAL DE LOGISTICA</t>
  </si>
  <si>
    <t>ALMOXARIFADO DE MATÉRIA-PRIMA</t>
  </si>
  <si>
    <t>ANALISTA DE PCP PL</t>
  </si>
  <si>
    <t>ANALISTA DE LOGISTICA III</t>
  </si>
  <si>
    <t>CUSTOS LOGÍSTICOS E ORÇAMENTO CORP</t>
  </si>
  <si>
    <t>TRANSP DIST FARINHA - DENTRO DO ESTADO</t>
  </si>
  <si>
    <t>PLANEJAMENTO DE PRODUÇÃO E ABASTECIMENTO</t>
  </si>
  <si>
    <t>GERENTE DE LOGISTICA</t>
  </si>
  <si>
    <t>ANALISTA DE PCP SR</t>
  </si>
  <si>
    <t>RECEBIMENTO BALANÇA</t>
  </si>
  <si>
    <t>GERENTE DE PLANEJ LOGISTICO</t>
  </si>
  <si>
    <t>ALAGOAS</t>
  </si>
  <si>
    <t>PIAUI</t>
  </si>
  <si>
    <t>COORDENADOR DE CUSTOMER SERVICE</t>
  </si>
  <si>
    <t>ALMOXARIFADO GERAL</t>
  </si>
  <si>
    <t>ASSISTENTE DE OPERAÇÕES LOGÍSTICAS II</t>
  </si>
  <si>
    <t>LOGISTICA EXPEDIÇÃO CGS</t>
  </si>
  <si>
    <t>ASSISTENTE ADMINISTRATIVO I</t>
  </si>
  <si>
    <t>PARANA</t>
  </si>
  <si>
    <t xml:space="preserve">REGIONAL DE LOGÍSTICA SUPORTE REGIONAL  </t>
  </si>
  <si>
    <t>SUPERVISOR EXPEDICAO</t>
  </si>
  <si>
    <t>REGIONAL DE LOGISTICA SUPORTE REGIONAL</t>
  </si>
  <si>
    <t>ANALISTA DE COSTUMER SERVICE II</t>
  </si>
  <si>
    <t>COSTOMER SERVICE (CORPORATIVO)</t>
  </si>
  <si>
    <t>ALMOXARIFADO DE EMBALAGENS</t>
  </si>
  <si>
    <t>PARA</t>
  </si>
  <si>
    <t>ESTAGIARIO</t>
  </si>
  <si>
    <t>CUSTOS LOGISTICOS E ORCAMENTO</t>
  </si>
  <si>
    <t>COORDENADOR DE SUPPLY CHAIN</t>
  </si>
  <si>
    <t>PLANEJAMENTO E ANÁLISE DE MALHA</t>
  </si>
  <si>
    <t>GERENTE EXECUTIVO CUSTOMER SERVICE</t>
  </si>
  <si>
    <t>AMAZONAS</t>
  </si>
  <si>
    <t>ANALISTA DE COSTUMER SERVICE</t>
  </si>
  <si>
    <t>SUPERVISOR DE COSTUMER SERVICE</t>
  </si>
  <si>
    <t>COORDENADOR REGIONAL DE LOGÍSTICA</t>
  </si>
  <si>
    <t>LOGISTICA ADM CGS</t>
  </si>
  <si>
    <t>DISTRITO FEDERAL</t>
  </si>
  <si>
    <t>SUPERVISOR DE ALMOXARIFADO</t>
  </si>
  <si>
    <t>SERGIPE</t>
  </si>
  <si>
    <t>GERENTE EXECUTIVO PLANEJ INTEGRADO</t>
  </si>
  <si>
    <t>TRANSPORTE FARINHA - PCP</t>
  </si>
  <si>
    <t>GERENTE DE DISTRIBUICAO</t>
  </si>
  <si>
    <t>CUSTOMER SERVICE</t>
  </si>
  <si>
    <t>DIRETORIA LOGISTICA E PLAN INTEGRADO</t>
  </si>
  <si>
    <t>COORDENADOR DE ALMOXARIFADO</t>
  </si>
  <si>
    <t>GERENTE DE PLANEJAMENTO DE DISTRIBU</t>
  </si>
  <si>
    <t>ANALISTA CUSTOMER SERVICE JR</t>
  </si>
  <si>
    <t>PROFISSIONAIS_</t>
  </si>
  <si>
    <t xml:space="preserve">APOIO DISTRIBUICAO GRU 1º­ TURNO    </t>
  </si>
  <si>
    <t xml:space="preserve">CUSTOMER SERVICE SCS                </t>
  </si>
  <si>
    <t xml:space="preserve">PROC CUSTOMER SERVICE SCS           </t>
  </si>
  <si>
    <t>SUPERVISOR DE LOGÍSTICA</t>
  </si>
  <si>
    <t>ALMOXARIFADO DE PA SUPORTE OPERACAO</t>
  </si>
  <si>
    <t>DISTRIBUICAO SUPORTE REGIONAL</t>
  </si>
  <si>
    <t>ASSISTENTE DE COSTUMER SERVICE</t>
  </si>
  <si>
    <t>COSTOMER SERVICE INTERNO</t>
  </si>
  <si>
    <t>Colaborador_001</t>
  </si>
  <si>
    <t>Colaborador_002</t>
  </si>
  <si>
    <t>Colaborador_003</t>
  </si>
  <si>
    <t>Colaborador_004</t>
  </si>
  <si>
    <t>Colaborador_005</t>
  </si>
  <si>
    <t>Colaborador_006</t>
  </si>
  <si>
    <t>Colaborador_007</t>
  </si>
  <si>
    <t>Colaborador_008</t>
  </si>
  <si>
    <t>Colaborador_009</t>
  </si>
  <si>
    <t>Colaborador_010</t>
  </si>
  <si>
    <t>Colaborador_011</t>
  </si>
  <si>
    <t>Colaborador_012</t>
  </si>
  <si>
    <t>Colaborador_013</t>
  </si>
  <si>
    <t>Colaborador_014</t>
  </si>
  <si>
    <t>Colaborador_015</t>
  </si>
  <si>
    <t>Colaborador_016</t>
  </si>
  <si>
    <t>Colaborador_017</t>
  </si>
  <si>
    <t>Colaborador_018</t>
  </si>
  <si>
    <t>Colaborador_019</t>
  </si>
  <si>
    <t>Colaborador_020</t>
  </si>
  <si>
    <t>Colaborador_021</t>
  </si>
  <si>
    <t>Colaborador_022</t>
  </si>
  <si>
    <t>Colaborador_023</t>
  </si>
  <si>
    <t>Colaborador_024</t>
  </si>
  <si>
    <t>Colaborador_025</t>
  </si>
  <si>
    <t>Colaborador_026</t>
  </si>
  <si>
    <t>Colaborador_027</t>
  </si>
  <si>
    <t>Colaborador_028</t>
  </si>
  <si>
    <t>Colaborador_029</t>
  </si>
  <si>
    <t>Colaborador_030</t>
  </si>
  <si>
    <t>Colaborador_031</t>
  </si>
  <si>
    <t>Colaborador_032</t>
  </si>
  <si>
    <t>Colaborador_033</t>
  </si>
  <si>
    <t>Colaborador_034</t>
  </si>
  <si>
    <t>Colaborador_035</t>
  </si>
  <si>
    <t>Colaborador_036</t>
  </si>
  <si>
    <t>Colaborador_037</t>
  </si>
  <si>
    <t>Colaborador_038</t>
  </si>
  <si>
    <t>Colaborador_039</t>
  </si>
  <si>
    <t>Colaborador_040</t>
  </si>
  <si>
    <t>Colaborador_041</t>
  </si>
  <si>
    <t>Colaborador_042</t>
  </si>
  <si>
    <t>Colaborador_043</t>
  </si>
  <si>
    <t>Colaborador_044</t>
  </si>
  <si>
    <t>Colaborador_045</t>
  </si>
  <si>
    <t>Colaborador_046</t>
  </si>
  <si>
    <t>Colaborador_047</t>
  </si>
  <si>
    <t>Colaborador_048</t>
  </si>
  <si>
    <t>Colaborador_049</t>
  </si>
  <si>
    <t>Colaborador_050</t>
  </si>
  <si>
    <t>Colaborador_051</t>
  </si>
  <si>
    <t>Colaborador_052</t>
  </si>
  <si>
    <t>Colaborador_053</t>
  </si>
  <si>
    <t>Colaborador_054</t>
  </si>
  <si>
    <t>Colaborador_055</t>
  </si>
  <si>
    <t>Colaborador_056</t>
  </si>
  <si>
    <t>Colaborador_057</t>
  </si>
  <si>
    <t>Colaborador_058</t>
  </si>
  <si>
    <t>Colaborador_059</t>
  </si>
  <si>
    <t>Colaborador_060</t>
  </si>
  <si>
    <t>Colaborador_061</t>
  </si>
  <si>
    <t>Colaborador_062</t>
  </si>
  <si>
    <t>Colaborador_063</t>
  </si>
  <si>
    <t>Colaborador_064</t>
  </si>
  <si>
    <t>Colaborador_065</t>
  </si>
  <si>
    <t>Colaborador_066</t>
  </si>
  <si>
    <t>Colaborador_067</t>
  </si>
  <si>
    <t>Colaborador_068</t>
  </si>
  <si>
    <t>Colaborador_069</t>
  </si>
  <si>
    <t>Colaborador_070</t>
  </si>
  <si>
    <t>Colaborador_071</t>
  </si>
  <si>
    <t>Colaborador_072</t>
  </si>
  <si>
    <t>Colaborador_073</t>
  </si>
  <si>
    <t>Colaborador_074</t>
  </si>
  <si>
    <t>Colaborador_075</t>
  </si>
  <si>
    <t>Colaborador_076</t>
  </si>
  <si>
    <t>Colaborador_077</t>
  </si>
  <si>
    <t>Colaborador_078</t>
  </si>
  <si>
    <t>Colaborador_079</t>
  </si>
  <si>
    <t>Colaborador_080</t>
  </si>
  <si>
    <t>Colaborador_081</t>
  </si>
  <si>
    <t>Colaborador_082</t>
  </si>
  <si>
    <t>Colaborador_083</t>
  </si>
  <si>
    <t>Colaborador_084</t>
  </si>
  <si>
    <t>Colaborador_085</t>
  </si>
  <si>
    <t>Colaborador_086</t>
  </si>
  <si>
    <t>Colaborador_087</t>
  </si>
  <si>
    <t>Colaborador_088</t>
  </si>
  <si>
    <t>Colaborador_089</t>
  </si>
  <si>
    <t>Colaborador_090</t>
  </si>
  <si>
    <t>Colaborador_091</t>
  </si>
  <si>
    <t>Colaborador_092</t>
  </si>
  <si>
    <t>Colaborador_093</t>
  </si>
  <si>
    <t>Colaborador_094</t>
  </si>
  <si>
    <t>Colaborador_095</t>
  </si>
  <si>
    <t>Colaborador_096</t>
  </si>
  <si>
    <t>Colaborador_097</t>
  </si>
  <si>
    <t>Colaborador_098</t>
  </si>
  <si>
    <t>Colaborador_099</t>
  </si>
  <si>
    <t>Colaborador_100</t>
  </si>
  <si>
    <t>Colaborador_101</t>
  </si>
  <si>
    <t>Colaborador_102</t>
  </si>
  <si>
    <t>Colaborador_103</t>
  </si>
  <si>
    <t>Colaborador_104</t>
  </si>
  <si>
    <t>Colaborador_105</t>
  </si>
  <si>
    <t>Colaborador_106</t>
  </si>
  <si>
    <t>Colaborador_107</t>
  </si>
  <si>
    <t>Colaborador_108</t>
  </si>
  <si>
    <t>Colaborador_109</t>
  </si>
  <si>
    <t>Colaborador_110</t>
  </si>
  <si>
    <t>Colaborador_111</t>
  </si>
  <si>
    <t>Colaborador_112</t>
  </si>
  <si>
    <t>Colaborador_113</t>
  </si>
  <si>
    <t>Colaborador_114</t>
  </si>
  <si>
    <t>Colaborador_115</t>
  </si>
  <si>
    <t>Colaborador_116</t>
  </si>
  <si>
    <t>Colaborador_117</t>
  </si>
  <si>
    <t>Colaborador_118</t>
  </si>
  <si>
    <t>Colaborador_119</t>
  </si>
  <si>
    <t>Colaborador_120</t>
  </si>
  <si>
    <t>Colaborador_121</t>
  </si>
  <si>
    <t>Colaborador_122</t>
  </si>
  <si>
    <t>Colaborador_123</t>
  </si>
  <si>
    <t>Colaborador_124</t>
  </si>
  <si>
    <t>Colaborador_125</t>
  </si>
  <si>
    <t>Colaborador_126</t>
  </si>
  <si>
    <t>Colaborador_127</t>
  </si>
  <si>
    <t>Colaborador_128</t>
  </si>
  <si>
    <t>Colaborador_129</t>
  </si>
  <si>
    <t>Colaborador_130</t>
  </si>
  <si>
    <t>Colaborador_131</t>
  </si>
  <si>
    <t>Colaborador_132</t>
  </si>
  <si>
    <t>Colaborador_133</t>
  </si>
  <si>
    <t>Colaborador_134</t>
  </si>
  <si>
    <t>Colaborador_135</t>
  </si>
  <si>
    <t>Colaborador_136</t>
  </si>
  <si>
    <t>Colaborador_137</t>
  </si>
  <si>
    <t>Colaborador_138</t>
  </si>
  <si>
    <t>Colaborador_139</t>
  </si>
  <si>
    <t>Colaborador_140</t>
  </si>
  <si>
    <t>Colaborador_141</t>
  </si>
  <si>
    <t>Colaborador_142</t>
  </si>
  <si>
    <t>Colaborador_143</t>
  </si>
  <si>
    <t>Colaborador_144</t>
  </si>
  <si>
    <t>Colaborador_145</t>
  </si>
  <si>
    <t>Colaborador_146</t>
  </si>
  <si>
    <t>Colaborador_147</t>
  </si>
  <si>
    <t>Colaborador_148</t>
  </si>
  <si>
    <t>Colaborador_149</t>
  </si>
  <si>
    <t>Colaborador_150</t>
  </si>
  <si>
    <t>Colaborador_151</t>
  </si>
  <si>
    <t>Colaborador_152</t>
  </si>
  <si>
    <t>Colaborador_153</t>
  </si>
  <si>
    <t>Colaborador_154</t>
  </si>
  <si>
    <t>Colaborador_155</t>
  </si>
  <si>
    <t>Colaborador_156</t>
  </si>
  <si>
    <t>Colaborador_157</t>
  </si>
  <si>
    <t>Colaborador_158</t>
  </si>
  <si>
    <t>Colaborador_159</t>
  </si>
  <si>
    <t>Colaborador_160</t>
  </si>
  <si>
    <t>Colaborador_161</t>
  </si>
  <si>
    <t>Colaborador_162</t>
  </si>
  <si>
    <t>Colaborador_163</t>
  </si>
  <si>
    <t>Colaborador_164</t>
  </si>
  <si>
    <t>Colaborador_165</t>
  </si>
  <si>
    <t>Colaborador_166</t>
  </si>
  <si>
    <t>Colaborador_167</t>
  </si>
  <si>
    <t>Colaborador_168</t>
  </si>
  <si>
    <t>Colaborador_169</t>
  </si>
  <si>
    <t>Colaborador_170</t>
  </si>
  <si>
    <t>Colaborador_171</t>
  </si>
  <si>
    <t>Colaborador_172</t>
  </si>
  <si>
    <t>Colaborador_173</t>
  </si>
  <si>
    <t>Colaborador_174</t>
  </si>
  <si>
    <t>Colaborador_175</t>
  </si>
  <si>
    <t>Colaborador_176</t>
  </si>
  <si>
    <t>Colaborador_177</t>
  </si>
  <si>
    <t>Colaborador_178</t>
  </si>
  <si>
    <t>Colaborador_179</t>
  </si>
  <si>
    <t>Colaborador_180</t>
  </si>
  <si>
    <t>Colaborador_181</t>
  </si>
  <si>
    <t>Colaborador_182</t>
  </si>
  <si>
    <t>Colaborador_183</t>
  </si>
  <si>
    <t>Colaborador_184</t>
  </si>
  <si>
    <t>Colaborador_185</t>
  </si>
  <si>
    <t>Colaborador_186</t>
  </si>
  <si>
    <t>Colaborador_187</t>
  </si>
  <si>
    <t>Colaborador_188</t>
  </si>
  <si>
    <t>Colaborador_189</t>
  </si>
  <si>
    <t>Colaborador_190</t>
  </si>
  <si>
    <t>Colaborador_191</t>
  </si>
  <si>
    <t>Colaborador_192</t>
  </si>
  <si>
    <t>Colaborador_193</t>
  </si>
  <si>
    <t>Colaborador_194</t>
  </si>
  <si>
    <t>Colaborador_195</t>
  </si>
  <si>
    <t>Colaborador_196</t>
  </si>
  <si>
    <t>Colaborador_197</t>
  </si>
  <si>
    <t>Colaborador_198</t>
  </si>
  <si>
    <t>Colaborador_199</t>
  </si>
  <si>
    <t>Colaborador_200</t>
  </si>
  <si>
    <t>Colaborador_201</t>
  </si>
  <si>
    <t>Colaborador_202</t>
  </si>
  <si>
    <t>Colaborador_203</t>
  </si>
  <si>
    <t>Colaborador_204</t>
  </si>
  <si>
    <t>Colaborador_205</t>
  </si>
  <si>
    <t>Colaborador_206</t>
  </si>
  <si>
    <t>Colaborador_207</t>
  </si>
  <si>
    <t>Colaborador_208</t>
  </si>
  <si>
    <t>Colaborador_209</t>
  </si>
  <si>
    <t>Colaborador_210</t>
  </si>
  <si>
    <t>Colaborador_211</t>
  </si>
  <si>
    <t>Colaborador_212</t>
  </si>
  <si>
    <t>Colaborador_213</t>
  </si>
  <si>
    <t>Colaborador_214</t>
  </si>
  <si>
    <t>Colaborador_215</t>
  </si>
  <si>
    <t>Colaborador_216</t>
  </si>
  <si>
    <t>Colaborador_217</t>
  </si>
  <si>
    <t>Colaborador_218</t>
  </si>
  <si>
    <t>Colaborador_219</t>
  </si>
  <si>
    <t>Colaborador_220</t>
  </si>
  <si>
    <t>Colaborador_221</t>
  </si>
  <si>
    <t>Colaborador_222</t>
  </si>
  <si>
    <t>Colaborador_223</t>
  </si>
  <si>
    <t>Colaborador_224</t>
  </si>
  <si>
    <t>Colaborador_225</t>
  </si>
  <si>
    <t>Colaborador_226</t>
  </si>
  <si>
    <t>Colaborador_227</t>
  </si>
  <si>
    <t>Colaborador_228</t>
  </si>
  <si>
    <t>Colaborador_229</t>
  </si>
  <si>
    <t>Colaborador_230</t>
  </si>
  <si>
    <t>Colaborador_231</t>
  </si>
  <si>
    <t>Colaborador_232</t>
  </si>
  <si>
    <t>Colaborador_233</t>
  </si>
  <si>
    <t>Colaborador_234</t>
  </si>
  <si>
    <t>Colaborador_235</t>
  </si>
  <si>
    <t>Colaborador_236</t>
  </si>
  <si>
    <t>Colaborador_237</t>
  </si>
  <si>
    <t>Colaborador_238</t>
  </si>
  <si>
    <t>Colaborador_239</t>
  </si>
  <si>
    <t>Colaborador_240</t>
  </si>
  <si>
    <t>Colaborador_241</t>
  </si>
  <si>
    <t>Colaborador_242</t>
  </si>
  <si>
    <t>Colaborador_243</t>
  </si>
  <si>
    <t>Colaborador_244</t>
  </si>
  <si>
    <t>Colaborador_245</t>
  </si>
  <si>
    <t>Colaborador_246</t>
  </si>
  <si>
    <t>Colaborador_247</t>
  </si>
  <si>
    <t>Colaborador_248</t>
  </si>
  <si>
    <t>Colaborador_249</t>
  </si>
  <si>
    <t>Colaborador_250</t>
  </si>
  <si>
    <t>Colaborador_251</t>
  </si>
  <si>
    <t>Colaborador_252</t>
  </si>
  <si>
    <t>Colaborador_253</t>
  </si>
  <si>
    <t>Colaborador_254</t>
  </si>
  <si>
    <t>Colaborador_255</t>
  </si>
  <si>
    <t>Colaborador_256</t>
  </si>
  <si>
    <t>Colaborador_257</t>
  </si>
  <si>
    <t>Colaborador_258</t>
  </si>
  <si>
    <t>Colaborador_259</t>
  </si>
  <si>
    <t>Colaborador_260</t>
  </si>
  <si>
    <t>Colaborador_261</t>
  </si>
  <si>
    <t>Colaborador_262</t>
  </si>
  <si>
    <t>Colaborador_263</t>
  </si>
  <si>
    <t>Colaborador_264</t>
  </si>
  <si>
    <t>Colaborador_265</t>
  </si>
  <si>
    <t>Colaborador_266</t>
  </si>
  <si>
    <t>Colaborador_267</t>
  </si>
  <si>
    <t>Colaborador_268</t>
  </si>
  <si>
    <t>Colaborador_269</t>
  </si>
  <si>
    <t>Colaborador_270</t>
  </si>
  <si>
    <t>Colaborador_271</t>
  </si>
  <si>
    <t>Colaborador_272</t>
  </si>
  <si>
    <t>Colaborador_273</t>
  </si>
  <si>
    <t>Colaborador_274</t>
  </si>
  <si>
    <t>Colaborador_275</t>
  </si>
  <si>
    <t>Colaborador_276</t>
  </si>
  <si>
    <t>Colaborador_277</t>
  </si>
  <si>
    <t>Colaborador_278</t>
  </si>
  <si>
    <t>Colaborador_279</t>
  </si>
  <si>
    <t>Colaborador_280</t>
  </si>
  <si>
    <t>Colaborador_281</t>
  </si>
  <si>
    <t>Colaborador_282</t>
  </si>
  <si>
    <t>Colaborador_283</t>
  </si>
  <si>
    <t>Colaborador_284</t>
  </si>
  <si>
    <t>Colaborador_285</t>
  </si>
  <si>
    <t>Colaborador_286</t>
  </si>
  <si>
    <t>Colaborador_287</t>
  </si>
  <si>
    <t>Colaborador_288</t>
  </si>
  <si>
    <t>Colaborador_289</t>
  </si>
  <si>
    <t>Colaborador_290</t>
  </si>
  <si>
    <t>Colaborador_291</t>
  </si>
  <si>
    <t>Colaborador_292</t>
  </si>
  <si>
    <t>Colaborador_293</t>
  </si>
  <si>
    <t>Colaborador_294</t>
  </si>
  <si>
    <t>Colaborador_295</t>
  </si>
  <si>
    <t>Colaborador_296</t>
  </si>
  <si>
    <t>Colaborador_297</t>
  </si>
  <si>
    <t>Colaborador_298</t>
  </si>
  <si>
    <t>Colaborador_299</t>
  </si>
  <si>
    <t>Colaborador_300</t>
  </si>
  <si>
    <t>Colaborador_301</t>
  </si>
  <si>
    <t>Colaborador_302</t>
  </si>
  <si>
    <t>Colaborador_303</t>
  </si>
  <si>
    <t>Colaborador_304</t>
  </si>
  <si>
    <t>Colaborador_305</t>
  </si>
  <si>
    <t>Colaborador_306</t>
  </si>
  <si>
    <t>Colaborador_307</t>
  </si>
  <si>
    <t>Colaborador_308</t>
  </si>
  <si>
    <t>Colaborador_309</t>
  </si>
  <si>
    <t>Colaborador_310</t>
  </si>
  <si>
    <t>Colaborador_311</t>
  </si>
  <si>
    <t>Colaborador_312</t>
  </si>
  <si>
    <t>Colaborador_313</t>
  </si>
  <si>
    <t>Colaborador_314</t>
  </si>
  <si>
    <t>Colaborador_315</t>
  </si>
  <si>
    <t>Colaborador_316</t>
  </si>
  <si>
    <t>Colaborador_317</t>
  </si>
  <si>
    <t>Colaborador_318</t>
  </si>
  <si>
    <t>Colaborador_319</t>
  </si>
  <si>
    <t>Colaborador_320</t>
  </si>
  <si>
    <t>Colaborador_321</t>
  </si>
  <si>
    <t>Colaborador_322</t>
  </si>
  <si>
    <t>Colaborador_323</t>
  </si>
  <si>
    <t>Colaborador_324</t>
  </si>
  <si>
    <t>Colaborador_325</t>
  </si>
  <si>
    <t>Colaborador_326</t>
  </si>
  <si>
    <t>Colaborador_327</t>
  </si>
  <si>
    <t>Colaborador_328</t>
  </si>
  <si>
    <t>Colaborador_329</t>
  </si>
  <si>
    <t>Colaborador_330</t>
  </si>
  <si>
    <t>Colaborador_331</t>
  </si>
  <si>
    <t>Colaborador_332</t>
  </si>
  <si>
    <t>Colaborador_333</t>
  </si>
  <si>
    <t>Colaborador_334</t>
  </si>
  <si>
    <t>Colaborador_335</t>
  </si>
  <si>
    <t>Colaborador_336</t>
  </si>
  <si>
    <t>Colaborador_337</t>
  </si>
  <si>
    <t>Colaborador_338</t>
  </si>
  <si>
    <t>Colaborador_339</t>
  </si>
  <si>
    <t>Colaborador_340</t>
  </si>
  <si>
    <t>Colaborador_341</t>
  </si>
  <si>
    <t>Colaborador_342</t>
  </si>
  <si>
    <t>Colaborador_343</t>
  </si>
  <si>
    <t>Colaborador_344</t>
  </si>
  <si>
    <t>Colaborador_345</t>
  </si>
  <si>
    <t>Colaborador_346</t>
  </si>
  <si>
    <t>Colaborador_347</t>
  </si>
  <si>
    <t>Colaborador_348</t>
  </si>
  <si>
    <t>Colaborador_349</t>
  </si>
  <si>
    <t>Colaborador_350</t>
  </si>
  <si>
    <t>Colaborador_351</t>
  </si>
  <si>
    <t>Colaborador_352</t>
  </si>
  <si>
    <t>Colaborador_353</t>
  </si>
  <si>
    <t>Colaborador_354</t>
  </si>
  <si>
    <t>Colaborador_355</t>
  </si>
  <si>
    <t>Colaborador_356</t>
  </si>
  <si>
    <t>Colaborador_357</t>
  </si>
  <si>
    <t>Colaborador_358</t>
  </si>
  <si>
    <t>Colaborador_359</t>
  </si>
  <si>
    <t>Colaborador_360</t>
  </si>
  <si>
    <t>Colaborador_361</t>
  </si>
  <si>
    <t>Colaborador_362</t>
  </si>
  <si>
    <t>Colaborador_363</t>
  </si>
  <si>
    <t>Colaborador_364</t>
  </si>
  <si>
    <t>Colaborador_365</t>
  </si>
  <si>
    <t>Colaborador_366</t>
  </si>
  <si>
    <t>Colaborador_367</t>
  </si>
  <si>
    <t>Colaborador_368</t>
  </si>
  <si>
    <t>Colaborador_369</t>
  </si>
  <si>
    <t>Colaborador_370</t>
  </si>
  <si>
    <t>Colaborador_371</t>
  </si>
  <si>
    <t>Colaborador_372</t>
  </si>
  <si>
    <t>Colaborador_373</t>
  </si>
  <si>
    <t>Colaborador_374</t>
  </si>
  <si>
    <t>Colaborador_375</t>
  </si>
  <si>
    <t>Colaborador_376</t>
  </si>
  <si>
    <t>Colaborador_377</t>
  </si>
  <si>
    <t>Colaborador_378</t>
  </si>
  <si>
    <t>Colaborador_379</t>
  </si>
  <si>
    <t>Colaborador_380</t>
  </si>
  <si>
    <t>Colaborador_381</t>
  </si>
  <si>
    <t>Colaborador_382</t>
  </si>
  <si>
    <t>Colaborador_383</t>
  </si>
  <si>
    <t>Colaborador_384</t>
  </si>
  <si>
    <t>Colaborador_385</t>
  </si>
  <si>
    <t>Colaborador_386</t>
  </si>
  <si>
    <t>Colaborador_387</t>
  </si>
  <si>
    <t>Colaborador_388</t>
  </si>
  <si>
    <t>Colaborador_389</t>
  </si>
  <si>
    <t>Colaborador_390</t>
  </si>
  <si>
    <t>Colaborador_391</t>
  </si>
  <si>
    <t>Colaborador_392</t>
  </si>
  <si>
    <t>Colaborador_393</t>
  </si>
  <si>
    <t>Colaborador_394</t>
  </si>
  <si>
    <t>Colaborador_395</t>
  </si>
  <si>
    <t>Colaborador_396</t>
  </si>
  <si>
    <t>Colaborador_397</t>
  </si>
  <si>
    <t>Colaborador_398</t>
  </si>
  <si>
    <t>Colaborador_399</t>
  </si>
  <si>
    <t>Colaborador_400</t>
  </si>
  <si>
    <t>Colaborador_401</t>
  </si>
  <si>
    <t>Colaborador_402</t>
  </si>
  <si>
    <t>Colaborador_403</t>
  </si>
  <si>
    <t>Colaborador_404</t>
  </si>
  <si>
    <t>Colaborador_405</t>
  </si>
  <si>
    <t>Colaborador_406</t>
  </si>
  <si>
    <t>Colaborador_407</t>
  </si>
  <si>
    <t>Colaborador_408</t>
  </si>
  <si>
    <t>Colaborador_409</t>
  </si>
  <si>
    <t>Colaborador_410</t>
  </si>
  <si>
    <t>Colaborador_411</t>
  </si>
  <si>
    <t>Colaborador_412</t>
  </si>
  <si>
    <t>Colaborador_413</t>
  </si>
  <si>
    <t>Colaborador_414</t>
  </si>
  <si>
    <t>Colaborador_415</t>
  </si>
  <si>
    <t>Colaborador_416</t>
  </si>
  <si>
    <t>Colaborador_417</t>
  </si>
  <si>
    <t>Colaborador_418</t>
  </si>
  <si>
    <t>Colaborador_419</t>
  </si>
  <si>
    <t>Colaborador_420</t>
  </si>
  <si>
    <t>Colaborador_421</t>
  </si>
  <si>
    <t>Colaborador_422</t>
  </si>
  <si>
    <t>Colaborador_423</t>
  </si>
  <si>
    <t>Colaborador_424</t>
  </si>
  <si>
    <t>Colaborador_425</t>
  </si>
  <si>
    <t>Colaborador_426</t>
  </si>
  <si>
    <t>Colaborador_427</t>
  </si>
  <si>
    <t>Colaborador_428</t>
  </si>
  <si>
    <t>Colaborador_429</t>
  </si>
  <si>
    <t>Colaborador_430</t>
  </si>
  <si>
    <t>Colaborador_431</t>
  </si>
  <si>
    <t>Colaborador_432</t>
  </si>
  <si>
    <t>Colaborador_433</t>
  </si>
  <si>
    <t>Colaborador_434</t>
  </si>
  <si>
    <t>Colaborador_435</t>
  </si>
  <si>
    <t>Colaborador_436</t>
  </si>
  <si>
    <t>Colaborador_437</t>
  </si>
  <si>
    <t>Colaborador_438</t>
  </si>
  <si>
    <t>Colaborador_439</t>
  </si>
  <si>
    <t>Colaborador_440</t>
  </si>
  <si>
    <t>Colaborador_441</t>
  </si>
  <si>
    <t>Colaborador_442</t>
  </si>
  <si>
    <t>Colaborador_443</t>
  </si>
  <si>
    <t>Colaborador_444</t>
  </si>
  <si>
    <t>Colaborador_445</t>
  </si>
  <si>
    <t>Colaborador_446</t>
  </si>
  <si>
    <t>Colaborador_447</t>
  </si>
  <si>
    <t>Colaborador_448</t>
  </si>
  <si>
    <t>Colaborador_449</t>
  </si>
  <si>
    <t>Colaborador_450</t>
  </si>
  <si>
    <t>Colaborador_451</t>
  </si>
  <si>
    <t>Colaborador_452</t>
  </si>
  <si>
    <t>Colaborador_453</t>
  </si>
  <si>
    <t>Colaborador_454</t>
  </si>
  <si>
    <t>Colaborador_455</t>
  </si>
  <si>
    <t>Colaborador_456</t>
  </si>
  <si>
    <t>Colaborador_457</t>
  </si>
  <si>
    <t>Colaborador_458</t>
  </si>
  <si>
    <t>Colaborador_459</t>
  </si>
  <si>
    <t>Colaborador_460</t>
  </si>
  <si>
    <t>Colaborador_461</t>
  </si>
  <si>
    <t>Colaborador_462</t>
  </si>
  <si>
    <t>Colaborador_463</t>
  </si>
  <si>
    <t>Colaborador_464</t>
  </si>
  <si>
    <t>Colaborador_465</t>
  </si>
  <si>
    <t>Colaborador_466</t>
  </si>
  <si>
    <t>Colaborador_467</t>
  </si>
  <si>
    <t>Colaborador_468</t>
  </si>
  <si>
    <t>Colaborador_469</t>
  </si>
  <si>
    <t>Colaborador_470</t>
  </si>
  <si>
    <t>Colaborador_471</t>
  </si>
  <si>
    <t>Colaborador_472</t>
  </si>
  <si>
    <t>Colaborador_473</t>
  </si>
  <si>
    <t>Colaborador_474</t>
  </si>
  <si>
    <t>Colaborador_475</t>
  </si>
  <si>
    <t>Colaborador_476</t>
  </si>
  <si>
    <t>Colaborador_477</t>
  </si>
  <si>
    <t>Colaborador_478</t>
  </si>
  <si>
    <t>Colaborador_479</t>
  </si>
  <si>
    <t>Colaborador_480</t>
  </si>
  <si>
    <t>Colaborador_481</t>
  </si>
  <si>
    <t>Colaborador_482</t>
  </si>
  <si>
    <t>Colaborador_483</t>
  </si>
  <si>
    <t>Colaborador_484</t>
  </si>
  <si>
    <t>Colaborador_485</t>
  </si>
  <si>
    <t>Colaborador_486</t>
  </si>
  <si>
    <t>Colaborador_487</t>
  </si>
  <si>
    <t>Colaborador_488</t>
  </si>
  <si>
    <t>Colaborador_489</t>
  </si>
  <si>
    <t>Colaborador_490</t>
  </si>
  <si>
    <t>Colaborador_491</t>
  </si>
  <si>
    <t>Colaborador_492</t>
  </si>
  <si>
    <t>Colaborador_493</t>
  </si>
  <si>
    <t>Colaborador_494</t>
  </si>
  <si>
    <t>Colaborador_495</t>
  </si>
  <si>
    <t>Colaborador_496</t>
  </si>
  <si>
    <t>Colaborador_497</t>
  </si>
  <si>
    <t>Colaborador_498</t>
  </si>
  <si>
    <t>Colaborador_499</t>
  </si>
  <si>
    <t>Colaborador_500</t>
  </si>
  <si>
    <t>Colaborador_501</t>
  </si>
  <si>
    <t>Colaborador_502</t>
  </si>
  <si>
    <t>Colaborador_503</t>
  </si>
  <si>
    <t>Colaborador_504</t>
  </si>
  <si>
    <t>Colaborador_505</t>
  </si>
  <si>
    <t>Colaborador_506</t>
  </si>
  <si>
    <t>Colaborador_507</t>
  </si>
  <si>
    <t>Colaborador_508</t>
  </si>
  <si>
    <t>Colaborador_509</t>
  </si>
  <si>
    <t>Colaborador_510</t>
  </si>
  <si>
    <t>Colaborador_511</t>
  </si>
  <si>
    <t>Colaborador_512</t>
  </si>
  <si>
    <t>Colaborador_513</t>
  </si>
  <si>
    <t>Colaborador_514</t>
  </si>
  <si>
    <t>Colaborador_515</t>
  </si>
  <si>
    <t>Colaborador_516</t>
  </si>
  <si>
    <t>Colaborador_517</t>
  </si>
  <si>
    <t>Colaborador_518</t>
  </si>
  <si>
    <t>Colaborador_519</t>
  </si>
  <si>
    <t>Colaborador_520</t>
  </si>
  <si>
    <t>MAT_001</t>
  </si>
  <si>
    <t>MAT_002</t>
  </si>
  <si>
    <t>MAT_003</t>
  </si>
  <si>
    <t>MAT_004</t>
  </si>
  <si>
    <t>MAT_005</t>
  </si>
  <si>
    <t>MAT_006</t>
  </si>
  <si>
    <t>MAT_007</t>
  </si>
  <si>
    <t>MAT_008</t>
  </si>
  <si>
    <t>MAT_009</t>
  </si>
  <si>
    <t>MAT_010</t>
  </si>
  <si>
    <t>MAT_011</t>
  </si>
  <si>
    <t>MAT_012</t>
  </si>
  <si>
    <t>MAT_013</t>
  </si>
  <si>
    <t>MAT_014</t>
  </si>
  <si>
    <t>MAT_015</t>
  </si>
  <si>
    <t>MAT_016</t>
  </si>
  <si>
    <t>MAT_017</t>
  </si>
  <si>
    <t>MAT_018</t>
  </si>
  <si>
    <t>MAT_019</t>
  </si>
  <si>
    <t>MAT_020</t>
  </si>
  <si>
    <t>MAT_021</t>
  </si>
  <si>
    <t>MAT_022</t>
  </si>
  <si>
    <t>MAT_023</t>
  </si>
  <si>
    <t>MAT_024</t>
  </si>
  <si>
    <t>MAT_025</t>
  </si>
  <si>
    <t>MAT_026</t>
  </si>
  <si>
    <t>MAT_027</t>
  </si>
  <si>
    <t>MAT_028</t>
  </si>
  <si>
    <t>MAT_029</t>
  </si>
  <si>
    <t>MAT_030</t>
  </si>
  <si>
    <t>MAT_031</t>
  </si>
  <si>
    <t>MAT_032</t>
  </si>
  <si>
    <t>MAT_033</t>
  </si>
  <si>
    <t>MAT_034</t>
  </si>
  <si>
    <t>MAT_035</t>
  </si>
  <si>
    <t>MAT_036</t>
  </si>
  <si>
    <t>MAT_037</t>
  </si>
  <si>
    <t>MAT_038</t>
  </si>
  <si>
    <t>MAT_039</t>
  </si>
  <si>
    <t>MAT_040</t>
  </si>
  <si>
    <t>MAT_041</t>
  </si>
  <si>
    <t>MAT_042</t>
  </si>
  <si>
    <t>MAT_043</t>
  </si>
  <si>
    <t>MAT_044</t>
  </si>
  <si>
    <t>MAT_045</t>
  </si>
  <si>
    <t>MAT_046</t>
  </si>
  <si>
    <t>MAT_047</t>
  </si>
  <si>
    <t>MAT_048</t>
  </si>
  <si>
    <t>MAT_049</t>
  </si>
  <si>
    <t>MAT_050</t>
  </si>
  <si>
    <t>MAT_051</t>
  </si>
  <si>
    <t>MAT_052</t>
  </si>
  <si>
    <t>MAT_053</t>
  </si>
  <si>
    <t>MAT_054</t>
  </si>
  <si>
    <t>MAT_055</t>
  </si>
  <si>
    <t>MAT_056</t>
  </si>
  <si>
    <t>MAT_057</t>
  </si>
  <si>
    <t>MAT_058</t>
  </si>
  <si>
    <t>MAT_059</t>
  </si>
  <si>
    <t>MAT_060</t>
  </si>
  <si>
    <t>MAT_061</t>
  </si>
  <si>
    <t>MAT_062</t>
  </si>
  <si>
    <t>MAT_063</t>
  </si>
  <si>
    <t>MAT_064</t>
  </si>
  <si>
    <t>MAT_065</t>
  </si>
  <si>
    <t>MAT_066</t>
  </si>
  <si>
    <t>MAT_067</t>
  </si>
  <si>
    <t>MAT_068</t>
  </si>
  <si>
    <t>MAT_069</t>
  </si>
  <si>
    <t>MAT_070</t>
  </si>
  <si>
    <t>MAT_071</t>
  </si>
  <si>
    <t>MAT_072</t>
  </si>
  <si>
    <t>MAT_073</t>
  </si>
  <si>
    <t>MAT_074</t>
  </si>
  <si>
    <t>MAT_075</t>
  </si>
  <si>
    <t>MAT_076</t>
  </si>
  <si>
    <t>MAT_077</t>
  </si>
  <si>
    <t>MAT_078</t>
  </si>
  <si>
    <t>MAT_079</t>
  </si>
  <si>
    <t>MAT_080</t>
  </si>
  <si>
    <t>MAT_081</t>
  </si>
  <si>
    <t>MAT_082</t>
  </si>
  <si>
    <t>MAT_083</t>
  </si>
  <si>
    <t>MAT_084</t>
  </si>
  <si>
    <t>MAT_085</t>
  </si>
  <si>
    <t>MAT_086</t>
  </si>
  <si>
    <t>MAT_087</t>
  </si>
  <si>
    <t>MAT_088</t>
  </si>
  <si>
    <t>MAT_089</t>
  </si>
  <si>
    <t>MAT_090</t>
  </si>
  <si>
    <t>MAT_091</t>
  </si>
  <si>
    <t>MAT_092</t>
  </si>
  <si>
    <t>MAT_093</t>
  </si>
  <si>
    <t>MAT_094</t>
  </si>
  <si>
    <t>MAT_095</t>
  </si>
  <si>
    <t>MAT_096</t>
  </si>
  <si>
    <t>MAT_097</t>
  </si>
  <si>
    <t>MAT_098</t>
  </si>
  <si>
    <t>MAT_099</t>
  </si>
  <si>
    <t>MAT_100</t>
  </si>
  <si>
    <t>MAT_101</t>
  </si>
  <si>
    <t>MAT_102</t>
  </si>
  <si>
    <t>MAT_103</t>
  </si>
  <si>
    <t>MAT_104</t>
  </si>
  <si>
    <t>MAT_105</t>
  </si>
  <si>
    <t>MAT_106</t>
  </si>
  <si>
    <t>MAT_107</t>
  </si>
  <si>
    <t>MAT_108</t>
  </si>
  <si>
    <t>MAT_109</t>
  </si>
  <si>
    <t>MAT_110</t>
  </si>
  <si>
    <t>MAT_111</t>
  </si>
  <si>
    <t>MAT_112</t>
  </si>
  <si>
    <t>MAT_113</t>
  </si>
  <si>
    <t>MAT_114</t>
  </si>
  <si>
    <t>MAT_115</t>
  </si>
  <si>
    <t>MAT_116</t>
  </si>
  <si>
    <t>MAT_117</t>
  </si>
  <si>
    <t>MAT_118</t>
  </si>
  <si>
    <t>MAT_119</t>
  </si>
  <si>
    <t>MAT_120</t>
  </si>
  <si>
    <t>MAT_121</t>
  </si>
  <si>
    <t>MAT_122</t>
  </si>
  <si>
    <t>MAT_123</t>
  </si>
  <si>
    <t>MAT_124</t>
  </si>
  <si>
    <t>MAT_125</t>
  </si>
  <si>
    <t>MAT_126</t>
  </si>
  <si>
    <t>MAT_127</t>
  </si>
  <si>
    <t>MAT_128</t>
  </si>
  <si>
    <t>MAT_129</t>
  </si>
  <si>
    <t>MAT_130</t>
  </si>
  <si>
    <t>MAT_131</t>
  </si>
  <si>
    <t>MAT_132</t>
  </si>
  <si>
    <t>MAT_133</t>
  </si>
  <si>
    <t>MAT_134</t>
  </si>
  <si>
    <t>MAT_135</t>
  </si>
  <si>
    <t>MAT_136</t>
  </si>
  <si>
    <t>MAT_137</t>
  </si>
  <si>
    <t>MAT_138</t>
  </si>
  <si>
    <t>MAT_139</t>
  </si>
  <si>
    <t>MAT_140</t>
  </si>
  <si>
    <t>MAT_141</t>
  </si>
  <si>
    <t>MAT_142</t>
  </si>
  <si>
    <t>MAT_143</t>
  </si>
  <si>
    <t>MAT_144</t>
  </si>
  <si>
    <t>MAT_145</t>
  </si>
  <si>
    <t>MAT_146</t>
  </si>
  <si>
    <t>MAT_147</t>
  </si>
  <si>
    <t>MAT_148</t>
  </si>
  <si>
    <t>MAT_149</t>
  </si>
  <si>
    <t>MAT_150</t>
  </si>
  <si>
    <t>MAT_151</t>
  </si>
  <si>
    <t>MAT_152</t>
  </si>
  <si>
    <t>MAT_153</t>
  </si>
  <si>
    <t>MAT_154</t>
  </si>
  <si>
    <t>MAT_155</t>
  </si>
  <si>
    <t>MAT_156</t>
  </si>
  <si>
    <t>MAT_157</t>
  </si>
  <si>
    <t>MAT_158</t>
  </si>
  <si>
    <t>MAT_159</t>
  </si>
  <si>
    <t>MAT_160</t>
  </si>
  <si>
    <t>MAT_161</t>
  </si>
  <si>
    <t>MAT_162</t>
  </si>
  <si>
    <t>MAT_163</t>
  </si>
  <si>
    <t>MAT_164</t>
  </si>
  <si>
    <t>MAT_165</t>
  </si>
  <si>
    <t>MAT_166</t>
  </si>
  <si>
    <t>MAT_167</t>
  </si>
  <si>
    <t>MAT_168</t>
  </si>
  <si>
    <t>MAT_169</t>
  </si>
  <si>
    <t>MAT_170</t>
  </si>
  <si>
    <t>MAT_171</t>
  </si>
  <si>
    <t>MAT_172</t>
  </si>
  <si>
    <t>MAT_173</t>
  </si>
  <si>
    <t>MAT_174</t>
  </si>
  <si>
    <t>MAT_175</t>
  </si>
  <si>
    <t>MAT_176</t>
  </si>
  <si>
    <t>MAT_177</t>
  </si>
  <si>
    <t>MAT_178</t>
  </si>
  <si>
    <t>MAT_179</t>
  </si>
  <si>
    <t>MAT_180</t>
  </si>
  <si>
    <t>MAT_181</t>
  </si>
  <si>
    <t>MAT_182</t>
  </si>
  <si>
    <t>MAT_183</t>
  </si>
  <si>
    <t>MAT_184</t>
  </si>
  <si>
    <t>MAT_185</t>
  </si>
  <si>
    <t>MAT_186</t>
  </si>
  <si>
    <t>MAT_187</t>
  </si>
  <si>
    <t>MAT_188</t>
  </si>
  <si>
    <t>MAT_189</t>
  </si>
  <si>
    <t>MAT_190</t>
  </si>
  <si>
    <t>MAT_191</t>
  </si>
  <si>
    <t>MAT_192</t>
  </si>
  <si>
    <t>MAT_193</t>
  </si>
  <si>
    <t>MAT_194</t>
  </si>
  <si>
    <t>MAT_195</t>
  </si>
  <si>
    <t>MAT_196</t>
  </si>
  <si>
    <t>MAT_197</t>
  </si>
  <si>
    <t>MAT_198</t>
  </si>
  <si>
    <t>MAT_199</t>
  </si>
  <si>
    <t>MAT_200</t>
  </si>
  <si>
    <t>MAT_201</t>
  </si>
  <si>
    <t>MAT_202</t>
  </si>
  <si>
    <t>MAT_203</t>
  </si>
  <si>
    <t>MAT_204</t>
  </si>
  <si>
    <t>MAT_205</t>
  </si>
  <si>
    <t>MAT_206</t>
  </si>
  <si>
    <t>MAT_207</t>
  </si>
  <si>
    <t>MAT_208</t>
  </si>
  <si>
    <t>MAT_209</t>
  </si>
  <si>
    <t>MAT_210</t>
  </si>
  <si>
    <t>MAT_211</t>
  </si>
  <si>
    <t>MAT_212</t>
  </si>
  <si>
    <t>MAT_213</t>
  </si>
  <si>
    <t>MAT_214</t>
  </si>
  <si>
    <t>MAT_215</t>
  </si>
  <si>
    <t>MAT_216</t>
  </si>
  <si>
    <t>MAT_217</t>
  </si>
  <si>
    <t>MAT_218</t>
  </si>
  <si>
    <t>MAT_219</t>
  </si>
  <si>
    <t>MAT_220</t>
  </si>
  <si>
    <t>MAT_221</t>
  </si>
  <si>
    <t>MAT_222</t>
  </si>
  <si>
    <t>MAT_223</t>
  </si>
  <si>
    <t>MAT_224</t>
  </si>
  <si>
    <t>MAT_225</t>
  </si>
  <si>
    <t>MAT_226</t>
  </si>
  <si>
    <t>MAT_227</t>
  </si>
  <si>
    <t>MAT_228</t>
  </si>
  <si>
    <t>MAT_229</t>
  </si>
  <si>
    <t>MAT_230</t>
  </si>
  <si>
    <t>MAT_231</t>
  </si>
  <si>
    <t>MAT_232</t>
  </si>
  <si>
    <t>MAT_233</t>
  </si>
  <si>
    <t>MAT_234</t>
  </si>
  <si>
    <t>MAT_235</t>
  </si>
  <si>
    <t>MAT_236</t>
  </si>
  <si>
    <t>MAT_237</t>
  </si>
  <si>
    <t>MAT_238</t>
  </si>
  <si>
    <t>MAT_239</t>
  </si>
  <si>
    <t>MAT_240</t>
  </si>
  <si>
    <t>MAT_241</t>
  </si>
  <si>
    <t>MAT_242</t>
  </si>
  <si>
    <t>MAT_243</t>
  </si>
  <si>
    <t>MAT_244</t>
  </si>
  <si>
    <t>MAT_245</t>
  </si>
  <si>
    <t>MAT_246</t>
  </si>
  <si>
    <t>MAT_247</t>
  </si>
  <si>
    <t>MAT_248</t>
  </si>
  <si>
    <t>MAT_249</t>
  </si>
  <si>
    <t>MAT_250</t>
  </si>
  <si>
    <t>MAT_251</t>
  </si>
  <si>
    <t>MAT_252</t>
  </si>
  <si>
    <t>MAT_253</t>
  </si>
  <si>
    <t>MAT_254</t>
  </si>
  <si>
    <t>MAT_255</t>
  </si>
  <si>
    <t>MAT_256</t>
  </si>
  <si>
    <t>MAT_257</t>
  </si>
  <si>
    <t>MAT_258</t>
  </si>
  <si>
    <t>MAT_259</t>
  </si>
  <si>
    <t>MAT_260</t>
  </si>
  <si>
    <t>MAT_261</t>
  </si>
  <si>
    <t>MAT_262</t>
  </si>
  <si>
    <t>MAT_263</t>
  </si>
  <si>
    <t>MAT_264</t>
  </si>
  <si>
    <t>MAT_265</t>
  </si>
  <si>
    <t>MAT_266</t>
  </si>
  <si>
    <t>MAT_267</t>
  </si>
  <si>
    <t>MAT_268</t>
  </si>
  <si>
    <t>MAT_269</t>
  </si>
  <si>
    <t>MAT_270</t>
  </si>
  <si>
    <t>MAT_271</t>
  </si>
  <si>
    <t>MAT_272</t>
  </si>
  <si>
    <t>MAT_273</t>
  </si>
  <si>
    <t>MAT_274</t>
  </si>
  <si>
    <t>MAT_275</t>
  </si>
  <si>
    <t>MAT_276</t>
  </si>
  <si>
    <t>MAT_277</t>
  </si>
  <si>
    <t>MAT_278</t>
  </si>
  <si>
    <t>MAT_279</t>
  </si>
  <si>
    <t>MAT_280</t>
  </si>
  <si>
    <t>MAT_281</t>
  </si>
  <si>
    <t>MAT_282</t>
  </si>
  <si>
    <t>MAT_283</t>
  </si>
  <si>
    <t>MAT_284</t>
  </si>
  <si>
    <t>MAT_285</t>
  </si>
  <si>
    <t>MAT_286</t>
  </si>
  <si>
    <t>MAT_287</t>
  </si>
  <si>
    <t>MAT_288</t>
  </si>
  <si>
    <t>MAT_289</t>
  </si>
  <si>
    <t>MAT_290</t>
  </si>
  <si>
    <t>MAT_291</t>
  </si>
  <si>
    <t>MAT_292</t>
  </si>
  <si>
    <t>MAT_293</t>
  </si>
  <si>
    <t>MAT_294</t>
  </si>
  <si>
    <t>MAT_295</t>
  </si>
  <si>
    <t>MAT_296</t>
  </si>
  <si>
    <t>MAT_297</t>
  </si>
  <si>
    <t>MAT_298</t>
  </si>
  <si>
    <t>MAT_299</t>
  </si>
  <si>
    <t>MAT_300</t>
  </si>
  <si>
    <t>MAT_301</t>
  </si>
  <si>
    <t>MAT_302</t>
  </si>
  <si>
    <t>MAT_303</t>
  </si>
  <si>
    <t>MAT_304</t>
  </si>
  <si>
    <t>MAT_305</t>
  </si>
  <si>
    <t>MAT_306</t>
  </si>
  <si>
    <t>MAT_307</t>
  </si>
  <si>
    <t>MAT_308</t>
  </si>
  <si>
    <t>MAT_309</t>
  </si>
  <si>
    <t>MAT_310</t>
  </si>
  <si>
    <t>MAT_311</t>
  </si>
  <si>
    <t>MAT_312</t>
  </si>
  <si>
    <t>MAT_313</t>
  </si>
  <si>
    <t>MAT_314</t>
  </si>
  <si>
    <t>MAT_315</t>
  </si>
  <si>
    <t>MAT_316</t>
  </si>
  <si>
    <t>MAT_317</t>
  </si>
  <si>
    <t>MAT_318</t>
  </si>
  <si>
    <t>MAT_319</t>
  </si>
  <si>
    <t>MAT_320</t>
  </si>
  <si>
    <t>MAT_321</t>
  </si>
  <si>
    <t>MAT_322</t>
  </si>
  <si>
    <t>MAT_323</t>
  </si>
  <si>
    <t>MAT_324</t>
  </si>
  <si>
    <t>MAT_325</t>
  </si>
  <si>
    <t>MAT_326</t>
  </si>
  <si>
    <t>MAT_327</t>
  </si>
  <si>
    <t>MAT_328</t>
  </si>
  <si>
    <t>MAT_329</t>
  </si>
  <si>
    <t>MAT_330</t>
  </si>
  <si>
    <t>MAT_331</t>
  </si>
  <si>
    <t>MAT_332</t>
  </si>
  <si>
    <t>MAT_333</t>
  </si>
  <si>
    <t>MAT_334</t>
  </si>
  <si>
    <t>MAT_335</t>
  </si>
  <si>
    <t>MAT_336</t>
  </si>
  <si>
    <t>MAT_337</t>
  </si>
  <si>
    <t>MAT_338</t>
  </si>
  <si>
    <t>MAT_339</t>
  </si>
  <si>
    <t>MAT_340</t>
  </si>
  <si>
    <t>MAT_341</t>
  </si>
  <si>
    <t>MAT_342</t>
  </si>
  <si>
    <t>MAT_343</t>
  </si>
  <si>
    <t>MAT_344</t>
  </si>
  <si>
    <t>MAT_345</t>
  </si>
  <si>
    <t>MAT_346</t>
  </si>
  <si>
    <t>MAT_347</t>
  </si>
  <si>
    <t>MAT_348</t>
  </si>
  <si>
    <t>MAT_349</t>
  </si>
  <si>
    <t>MAT_350</t>
  </si>
  <si>
    <t>MAT_351</t>
  </si>
  <si>
    <t>MAT_352</t>
  </si>
  <si>
    <t>MAT_353</t>
  </si>
  <si>
    <t>MAT_354</t>
  </si>
  <si>
    <t>MAT_355</t>
  </si>
  <si>
    <t>MAT_356</t>
  </si>
  <si>
    <t>MAT_357</t>
  </si>
  <si>
    <t>MAT_358</t>
  </si>
  <si>
    <t>MAT_359</t>
  </si>
  <si>
    <t>MAT_360</t>
  </si>
  <si>
    <t>MAT_361</t>
  </si>
  <si>
    <t>MAT_362</t>
  </si>
  <si>
    <t>MAT_363</t>
  </si>
  <si>
    <t>MAT_364</t>
  </si>
  <si>
    <t>MAT_365</t>
  </si>
  <si>
    <t>MAT_366</t>
  </si>
  <si>
    <t>MAT_367</t>
  </si>
  <si>
    <t>MAT_368</t>
  </si>
  <si>
    <t>MAT_369</t>
  </si>
  <si>
    <t>MAT_370</t>
  </si>
  <si>
    <t>MAT_371</t>
  </si>
  <si>
    <t>MAT_372</t>
  </si>
  <si>
    <t>MAT_373</t>
  </si>
  <si>
    <t>MAT_374</t>
  </si>
  <si>
    <t>MAT_375</t>
  </si>
  <si>
    <t>MAT_376</t>
  </si>
  <si>
    <t>MAT_377</t>
  </si>
  <si>
    <t>MAT_378</t>
  </si>
  <si>
    <t>MAT_379</t>
  </si>
  <si>
    <t>MAT_380</t>
  </si>
  <si>
    <t>MAT_381</t>
  </si>
  <si>
    <t>MAT_382</t>
  </si>
  <si>
    <t>MAT_383</t>
  </si>
  <si>
    <t>MAT_384</t>
  </si>
  <si>
    <t>MAT_385</t>
  </si>
  <si>
    <t>MAT_386</t>
  </si>
  <si>
    <t>MAT_387</t>
  </si>
  <si>
    <t>MAT_388</t>
  </si>
  <si>
    <t>MAT_389</t>
  </si>
  <si>
    <t>MAT_390</t>
  </si>
  <si>
    <t>MAT_391</t>
  </si>
  <si>
    <t>MAT_392</t>
  </si>
  <si>
    <t>MAT_393</t>
  </si>
  <si>
    <t>MAT_394</t>
  </si>
  <si>
    <t>MAT_395</t>
  </si>
  <si>
    <t>MAT_396</t>
  </si>
  <si>
    <t>MAT_397</t>
  </si>
  <si>
    <t>MAT_398</t>
  </si>
  <si>
    <t>MAT_399</t>
  </si>
  <si>
    <t>MAT_400</t>
  </si>
  <si>
    <t>MAT_401</t>
  </si>
  <si>
    <t>MAT_402</t>
  </si>
  <si>
    <t>MAT_403</t>
  </si>
  <si>
    <t>MAT_404</t>
  </si>
  <si>
    <t>MAT_405</t>
  </si>
  <si>
    <t>MAT_406</t>
  </si>
  <si>
    <t>MAT_407</t>
  </si>
  <si>
    <t>MAT_408</t>
  </si>
  <si>
    <t>MAT_409</t>
  </si>
  <si>
    <t>MAT_410</t>
  </si>
  <si>
    <t>MAT_411</t>
  </si>
  <si>
    <t>MAT_412</t>
  </si>
  <si>
    <t>MAT_413</t>
  </si>
  <si>
    <t>MAT_414</t>
  </si>
  <si>
    <t>MAT_415</t>
  </si>
  <si>
    <t>MAT_416</t>
  </si>
  <si>
    <t>MAT_417</t>
  </si>
  <si>
    <t>MAT_418</t>
  </si>
  <si>
    <t>MAT_419</t>
  </si>
  <si>
    <t>MAT_420</t>
  </si>
  <si>
    <t>MAT_421</t>
  </si>
  <si>
    <t>MAT_422</t>
  </si>
  <si>
    <t>MAT_423</t>
  </si>
  <si>
    <t>MAT_424</t>
  </si>
  <si>
    <t>MAT_425</t>
  </si>
  <si>
    <t>MAT_426</t>
  </si>
  <si>
    <t>MAT_427</t>
  </si>
  <si>
    <t>MAT_428</t>
  </si>
  <si>
    <t>MAT_429</t>
  </si>
  <si>
    <t>MAT_430</t>
  </si>
  <si>
    <t>MAT_431</t>
  </si>
  <si>
    <t>MAT_432</t>
  </si>
  <si>
    <t>MAT_433</t>
  </si>
  <si>
    <t>MAT_434</t>
  </si>
  <si>
    <t>MAT_435</t>
  </si>
  <si>
    <t>MAT_436</t>
  </si>
  <si>
    <t>MAT_437</t>
  </si>
  <si>
    <t>MAT_438</t>
  </si>
  <si>
    <t>MAT_439</t>
  </si>
  <si>
    <t>MAT_440</t>
  </si>
  <si>
    <t>MAT_441</t>
  </si>
  <si>
    <t>MAT_442</t>
  </si>
  <si>
    <t>MAT_443</t>
  </si>
  <si>
    <t>MAT_444</t>
  </si>
  <si>
    <t>MAT_445</t>
  </si>
  <si>
    <t>MAT_446</t>
  </si>
  <si>
    <t>MAT_447</t>
  </si>
  <si>
    <t>MAT_448</t>
  </si>
  <si>
    <t>MAT_449</t>
  </si>
  <si>
    <t>MAT_450</t>
  </si>
  <si>
    <t>MAT_451</t>
  </si>
  <si>
    <t>MAT_452</t>
  </si>
  <si>
    <t>MAT_453</t>
  </si>
  <si>
    <t>MAT_454</t>
  </si>
  <si>
    <t>MAT_455</t>
  </si>
  <si>
    <t>MAT_456</t>
  </si>
  <si>
    <t>MAT_457</t>
  </si>
  <si>
    <t>MAT_458</t>
  </si>
  <si>
    <t>MAT_459</t>
  </si>
  <si>
    <t>MAT_460</t>
  </si>
  <si>
    <t>MAT_461</t>
  </si>
  <si>
    <t>MAT_462</t>
  </si>
  <si>
    <t>MAT_463</t>
  </si>
  <si>
    <t>MAT_464</t>
  </si>
  <si>
    <t>MAT_465</t>
  </si>
  <si>
    <t>MAT_466</t>
  </si>
  <si>
    <t>MAT_467</t>
  </si>
  <si>
    <t>MAT_468</t>
  </si>
  <si>
    <t>MAT_469</t>
  </si>
  <si>
    <t>MAT_470</t>
  </si>
  <si>
    <t>MAT_471</t>
  </si>
  <si>
    <t>MAT_472</t>
  </si>
  <si>
    <t>MAT_473</t>
  </si>
  <si>
    <t>MAT_474</t>
  </si>
  <si>
    <t>MAT_475</t>
  </si>
  <si>
    <t>MAT_476</t>
  </si>
  <si>
    <t>MAT_477</t>
  </si>
  <si>
    <t>MAT_478</t>
  </si>
  <si>
    <t>MAT_479</t>
  </si>
  <si>
    <t>MAT_480</t>
  </si>
  <si>
    <t>MAT_481</t>
  </si>
  <si>
    <t>MAT_482</t>
  </si>
  <si>
    <t>MAT_483</t>
  </si>
  <si>
    <t>MAT_484</t>
  </si>
  <si>
    <t>MAT_485</t>
  </si>
  <si>
    <t>MAT_486</t>
  </si>
  <si>
    <t>MAT_487</t>
  </si>
  <si>
    <t>MAT_488</t>
  </si>
  <si>
    <t>MAT_489</t>
  </si>
  <si>
    <t>MAT_490</t>
  </si>
  <si>
    <t>MAT_491</t>
  </si>
  <si>
    <t>MAT_492</t>
  </si>
  <si>
    <t>MAT_493</t>
  </si>
  <si>
    <t>MAT_494</t>
  </si>
  <si>
    <t>MAT_495</t>
  </si>
  <si>
    <t>MAT_496</t>
  </si>
  <si>
    <t>MAT_497</t>
  </si>
  <si>
    <t>MAT_498</t>
  </si>
  <si>
    <t>MAT_499</t>
  </si>
  <si>
    <t>MAT_500</t>
  </si>
  <si>
    <t>MAT_501</t>
  </si>
  <si>
    <t>MAT_502</t>
  </si>
  <si>
    <t>MAT_503</t>
  </si>
  <si>
    <t>MAT_504</t>
  </si>
  <si>
    <t>MAT_505</t>
  </si>
  <si>
    <t>MAT_506</t>
  </si>
  <si>
    <t>MAT_507</t>
  </si>
  <si>
    <t>MAT_508</t>
  </si>
  <si>
    <t>MAT_509</t>
  </si>
  <si>
    <t>MAT_510</t>
  </si>
  <si>
    <t>MAT_511</t>
  </si>
  <si>
    <t>MAT_512</t>
  </si>
  <si>
    <t>MAT_513</t>
  </si>
  <si>
    <t>MAT_514</t>
  </si>
  <si>
    <t>MAT_515</t>
  </si>
  <si>
    <t>MAT_516</t>
  </si>
  <si>
    <t>MAT_517</t>
  </si>
  <si>
    <t>MAT_518</t>
  </si>
  <si>
    <t>MAT_519</t>
  </si>
  <si>
    <t>MAT_520</t>
  </si>
  <si>
    <t>Unidade_001</t>
  </si>
  <si>
    <t>Unidade_002</t>
  </si>
  <si>
    <t>Unidade_003</t>
  </si>
  <si>
    <t>Unidade_004</t>
  </si>
  <si>
    <t>Unidade_005</t>
  </si>
  <si>
    <t>Unidade_006</t>
  </si>
  <si>
    <t>Unidade_007</t>
  </si>
  <si>
    <t>Unidade_008</t>
  </si>
  <si>
    <t>Unidade_009</t>
  </si>
  <si>
    <t>Unidade_010</t>
  </si>
  <si>
    <t>Unidade_011</t>
  </si>
  <si>
    <t>Unidade_012</t>
  </si>
  <si>
    <t>Unidade_013</t>
  </si>
  <si>
    <t>Unidade_014</t>
  </si>
  <si>
    <t>Unidade_015</t>
  </si>
  <si>
    <t>Unidade_016</t>
  </si>
  <si>
    <t>Unidade_017</t>
  </si>
  <si>
    <t>Unidade_018</t>
  </si>
  <si>
    <t>Unidade_019</t>
  </si>
  <si>
    <t>Unidade_020</t>
  </si>
  <si>
    <t>Unidade_021</t>
  </si>
  <si>
    <t>Unidade_022</t>
  </si>
  <si>
    <t>Unidade_023</t>
  </si>
  <si>
    <t>Unidade_024</t>
  </si>
  <si>
    <t>Unidade_025</t>
  </si>
  <si>
    <t>Unidade_026</t>
  </si>
  <si>
    <t>Unidade_027</t>
  </si>
  <si>
    <t>Unidade_028</t>
  </si>
  <si>
    <t>Unidade_029</t>
  </si>
  <si>
    <t>Unidade_030</t>
  </si>
  <si>
    <t>Unidade_031</t>
  </si>
  <si>
    <t>Unidade_032</t>
  </si>
  <si>
    <t>Unidade_033</t>
  </si>
  <si>
    <t>Unidade_034</t>
  </si>
  <si>
    <t>Unidade_035</t>
  </si>
  <si>
    <t>Unidade_036</t>
  </si>
  <si>
    <t>Unidade_037</t>
  </si>
  <si>
    <t>Unidade_038</t>
  </si>
  <si>
    <t>Unidade_039</t>
  </si>
  <si>
    <t>Unidade_040</t>
  </si>
  <si>
    <t>Unidade_041</t>
  </si>
  <si>
    <t>Unidade_042</t>
  </si>
  <si>
    <t>Unidade_043</t>
  </si>
  <si>
    <t>Unidade_044</t>
  </si>
  <si>
    <t>Unidade_045</t>
  </si>
  <si>
    <t>Unidade_046</t>
  </si>
  <si>
    <t>Unidade_047</t>
  </si>
  <si>
    <t>Unidade_048</t>
  </si>
  <si>
    <t>Unidade_049</t>
  </si>
  <si>
    <t>Unidade_050</t>
  </si>
  <si>
    <t>Unidade_051</t>
  </si>
  <si>
    <t>Unidade_052</t>
  </si>
  <si>
    <t>Unidade_053</t>
  </si>
  <si>
    <t>Unidade_054</t>
  </si>
  <si>
    <t>Unidade_055</t>
  </si>
  <si>
    <t>Unidade_056</t>
  </si>
  <si>
    <t>Unidade_057</t>
  </si>
  <si>
    <t>Unidade_058</t>
  </si>
  <si>
    <t>Unidade_059</t>
  </si>
  <si>
    <t>Unidade_060</t>
  </si>
  <si>
    <t>Unidade_061</t>
  </si>
  <si>
    <t>Unidade_062</t>
  </si>
  <si>
    <t>Unidade_063</t>
  </si>
  <si>
    <t>Unidade_064</t>
  </si>
  <si>
    <t>Unidade_065</t>
  </si>
  <si>
    <t>Unidade_066</t>
  </si>
  <si>
    <t>Unidade_067</t>
  </si>
  <si>
    <t>Unidade_068</t>
  </si>
  <si>
    <t>Unidade_069</t>
  </si>
  <si>
    <t>Unidade_070</t>
  </si>
  <si>
    <t>Unidade_071</t>
  </si>
  <si>
    <t>Unidade_072</t>
  </si>
  <si>
    <t>Unidade_073</t>
  </si>
  <si>
    <t>Unidade_074</t>
  </si>
  <si>
    <t>Unidade_075</t>
  </si>
  <si>
    <t>Unidade_076</t>
  </si>
  <si>
    <t>Unidade_077</t>
  </si>
  <si>
    <t>Unidade_078</t>
  </si>
  <si>
    <t>Unidade_079</t>
  </si>
  <si>
    <t>Unidade_080</t>
  </si>
  <si>
    <t>Unidade_081</t>
  </si>
  <si>
    <t>Unidade_082</t>
  </si>
  <si>
    <t>Unidade_083</t>
  </si>
  <si>
    <t>Unidade_084</t>
  </si>
  <si>
    <t>Unidade_085</t>
  </si>
  <si>
    <t>Unidade_086</t>
  </si>
  <si>
    <t>Unidade_087</t>
  </si>
  <si>
    <t>Unidade_088</t>
  </si>
  <si>
    <t>Unidade_089</t>
  </si>
  <si>
    <t>Unidade_090</t>
  </si>
  <si>
    <t>Unidade_091</t>
  </si>
  <si>
    <t>Unidade_092</t>
  </si>
  <si>
    <t>Unidade_093</t>
  </si>
  <si>
    <t>Unidade_094</t>
  </si>
  <si>
    <t>Unidade_095</t>
  </si>
  <si>
    <t>Unidade_096</t>
  </si>
  <si>
    <t>Unidade_097</t>
  </si>
  <si>
    <t>Unidade_098</t>
  </si>
  <si>
    <t>Unidade_099</t>
  </si>
  <si>
    <t>Unidade_100</t>
  </si>
  <si>
    <t>Unidade_101</t>
  </si>
  <si>
    <t>Unidade_102</t>
  </si>
  <si>
    <t>Unidade_103</t>
  </si>
  <si>
    <t>Unidade_104</t>
  </si>
  <si>
    <t>Unidade_105</t>
  </si>
  <si>
    <t>Unidade_106</t>
  </si>
  <si>
    <t>Unidade_107</t>
  </si>
  <si>
    <t>Unidade_108</t>
  </si>
  <si>
    <t>Unidade_109</t>
  </si>
  <si>
    <t>Unidade_110</t>
  </si>
  <si>
    <t>Unidade_111</t>
  </si>
  <si>
    <t>Unidade_112</t>
  </si>
  <si>
    <t>Unidade_113</t>
  </si>
  <si>
    <t>Unidade_114</t>
  </si>
  <si>
    <t>Unidade_115</t>
  </si>
  <si>
    <t>Unidade_116</t>
  </si>
  <si>
    <t>Unidade_117</t>
  </si>
  <si>
    <t>Unidade_118</t>
  </si>
  <si>
    <t>Unidade_119</t>
  </si>
  <si>
    <t>Unidade_120</t>
  </si>
  <si>
    <t>Unidade_121</t>
  </si>
  <si>
    <t>Unidade_122</t>
  </si>
  <si>
    <t>Unidade_123</t>
  </si>
  <si>
    <t>Unidade_124</t>
  </si>
  <si>
    <t>Unidade_125</t>
  </si>
  <si>
    <t>Unidade_126</t>
  </si>
  <si>
    <t>Unidade_127</t>
  </si>
  <si>
    <t>Unidade_128</t>
  </si>
  <si>
    <t>Unidade_129</t>
  </si>
  <si>
    <t>Unidade_130</t>
  </si>
  <si>
    <t>Unidade_131</t>
  </si>
  <si>
    <t>Unidade_132</t>
  </si>
  <si>
    <t>Unidade_133</t>
  </si>
  <si>
    <t>Unidade_134</t>
  </si>
  <si>
    <t>Unidade_135</t>
  </si>
  <si>
    <t>Unidade_136</t>
  </si>
  <si>
    <t>Unidade_137</t>
  </si>
  <si>
    <t>Unidade_138</t>
  </si>
  <si>
    <t>Unidade_139</t>
  </si>
  <si>
    <t>Unidade_140</t>
  </si>
  <si>
    <t>Unidade_141</t>
  </si>
  <si>
    <t>Unidade_142</t>
  </si>
  <si>
    <t>Unidade_143</t>
  </si>
  <si>
    <t>Unidade_144</t>
  </si>
  <si>
    <t>Unidade_145</t>
  </si>
  <si>
    <t>Unidade_146</t>
  </si>
  <si>
    <t>Unidade_147</t>
  </si>
  <si>
    <t>Unidade_148</t>
  </si>
  <si>
    <t>Unidade_149</t>
  </si>
  <si>
    <t>Unidade_150</t>
  </si>
  <si>
    <t>Unidade_151</t>
  </si>
  <si>
    <t>Unidade_152</t>
  </si>
  <si>
    <t>Unidade_153</t>
  </si>
  <si>
    <t>Unidade_154</t>
  </si>
  <si>
    <t>Unidade_155</t>
  </si>
  <si>
    <t>Unidade_156</t>
  </si>
  <si>
    <t>Unidade_157</t>
  </si>
  <si>
    <t>Unidade_158</t>
  </si>
  <si>
    <t>Unidade_159</t>
  </si>
  <si>
    <t>Unidade_160</t>
  </si>
  <si>
    <t>Unidade_161</t>
  </si>
  <si>
    <t>Unidade_162</t>
  </si>
  <si>
    <t>Unidade_163</t>
  </si>
  <si>
    <t>Unidade_164</t>
  </si>
  <si>
    <t>Unidade_165</t>
  </si>
  <si>
    <t>Unidade_166</t>
  </si>
  <si>
    <t>Unidade_167</t>
  </si>
  <si>
    <t>Unidade_168</t>
  </si>
  <si>
    <t>Unidade_169</t>
  </si>
  <si>
    <t>Unidade_170</t>
  </si>
  <si>
    <t>Unidade_171</t>
  </si>
  <si>
    <t>Unidade_172</t>
  </si>
  <si>
    <t>Unidade_173</t>
  </si>
  <si>
    <t>Unidade_174</t>
  </si>
  <si>
    <t>Unidade_175</t>
  </si>
  <si>
    <t>Unidade_176</t>
  </si>
  <si>
    <t>Unidade_177</t>
  </si>
  <si>
    <t>Unidade_178</t>
  </si>
  <si>
    <t>Unidade_179</t>
  </si>
  <si>
    <t>Unidade_180</t>
  </si>
  <si>
    <t>Unidade_181</t>
  </si>
  <si>
    <t>Unidade_182</t>
  </si>
  <si>
    <t>Unidade_183</t>
  </si>
  <si>
    <t>Unidade_184</t>
  </si>
  <si>
    <t>Unidade_185</t>
  </si>
  <si>
    <t>Unidade_186</t>
  </si>
  <si>
    <t>Unidade_187</t>
  </si>
  <si>
    <t>Unidade_188</t>
  </si>
  <si>
    <t>Unidade_189</t>
  </si>
  <si>
    <t>Unidade_190</t>
  </si>
  <si>
    <t>Unidade_191</t>
  </si>
  <si>
    <t>Unidade_192</t>
  </si>
  <si>
    <t>Unidade_193</t>
  </si>
  <si>
    <t>Unidade_194</t>
  </si>
  <si>
    <t>Unidade_195</t>
  </si>
  <si>
    <t>Unidade_196</t>
  </si>
  <si>
    <t>Unidade_197</t>
  </si>
  <si>
    <t>Unidade_198</t>
  </si>
  <si>
    <t>Unidade_199</t>
  </si>
  <si>
    <t>Unidade_200</t>
  </si>
  <si>
    <t>Unidade_201</t>
  </si>
  <si>
    <t>Unidade_202</t>
  </si>
  <si>
    <t>Unidade_203</t>
  </si>
  <si>
    <t>Unidade_204</t>
  </si>
  <si>
    <t>Unidade_205</t>
  </si>
  <si>
    <t>Unidade_206</t>
  </si>
  <si>
    <t>Unidade_207</t>
  </si>
  <si>
    <t>Unidade_208</t>
  </si>
  <si>
    <t>Unidade_209</t>
  </si>
  <si>
    <t>Unidade_210</t>
  </si>
  <si>
    <t>Unidade_211</t>
  </si>
  <si>
    <t>Unidade_212</t>
  </si>
  <si>
    <t>Unidade_213</t>
  </si>
  <si>
    <t>Unidade_214</t>
  </si>
  <si>
    <t>Unidade_215</t>
  </si>
  <si>
    <t>Unidade_216</t>
  </si>
  <si>
    <t>Unidade_217</t>
  </si>
  <si>
    <t>Unidade_218</t>
  </si>
  <si>
    <t>Unidade_219</t>
  </si>
  <si>
    <t>Unidade_220</t>
  </si>
  <si>
    <t>Unidade_221</t>
  </si>
  <si>
    <t>Unidade_222</t>
  </si>
  <si>
    <t>Unidade_223</t>
  </si>
  <si>
    <t>Unidade_224</t>
  </si>
  <si>
    <t>Unidade_225</t>
  </si>
  <si>
    <t>Unidade_226</t>
  </si>
  <si>
    <t>Unidade_227</t>
  </si>
  <si>
    <t>Unidade_228</t>
  </si>
  <si>
    <t>Unidade_229</t>
  </si>
  <si>
    <t>Unidade_230</t>
  </si>
  <si>
    <t>Unidade_231</t>
  </si>
  <si>
    <t>Unidade_232</t>
  </si>
  <si>
    <t>Unidade_233</t>
  </si>
  <si>
    <t>Unidade_234</t>
  </si>
  <si>
    <t>Unidade_235</t>
  </si>
  <si>
    <t>Unidade_236</t>
  </si>
  <si>
    <t>Unidade_237</t>
  </si>
  <si>
    <t>Unidade_238</t>
  </si>
  <si>
    <t>Unidade_239</t>
  </si>
  <si>
    <t>Unidade_240</t>
  </si>
  <si>
    <t>Unidade_241</t>
  </si>
  <si>
    <t>Unidade_242</t>
  </si>
  <si>
    <t>Unidade_243</t>
  </si>
  <si>
    <t>Unidade_244</t>
  </si>
  <si>
    <t>Unidade_245</t>
  </si>
  <si>
    <t>Unidade_246</t>
  </si>
  <si>
    <t>Unidade_247</t>
  </si>
  <si>
    <t>Unidade_248</t>
  </si>
  <si>
    <t>Unidade_249</t>
  </si>
  <si>
    <t>Unidade_250</t>
  </si>
  <si>
    <t>Unidade_251</t>
  </si>
  <si>
    <t>Unidade_252</t>
  </si>
  <si>
    <t>Unidade_253</t>
  </si>
  <si>
    <t>Unidade_254</t>
  </si>
  <si>
    <t>Unidade_255</t>
  </si>
  <si>
    <t>Unidade_256</t>
  </si>
  <si>
    <t>Unidade_257</t>
  </si>
  <si>
    <t>Unidade_258</t>
  </si>
  <si>
    <t>Unidade_259</t>
  </si>
  <si>
    <t>Unidade_260</t>
  </si>
  <si>
    <t>Unidade_261</t>
  </si>
  <si>
    <t>Unidade_262</t>
  </si>
  <si>
    <t>Unidade_263</t>
  </si>
  <si>
    <t>Unidade_264</t>
  </si>
  <si>
    <t>Unidade_265</t>
  </si>
  <si>
    <t>Unidade_266</t>
  </si>
  <si>
    <t>Unidade_267</t>
  </si>
  <si>
    <t>Unidade_268</t>
  </si>
  <si>
    <t>Unidade_269</t>
  </si>
  <si>
    <t>Unidade_270</t>
  </si>
  <si>
    <t>Unidade_271</t>
  </si>
  <si>
    <t>Unidade_272</t>
  </si>
  <si>
    <t>Unidade_273</t>
  </si>
  <si>
    <t>Unidade_274</t>
  </si>
  <si>
    <t>Unidade_275</t>
  </si>
  <si>
    <t>Unidade_276</t>
  </si>
  <si>
    <t>Unidade_277</t>
  </si>
  <si>
    <t>Unidade_278</t>
  </si>
  <si>
    <t>Unidade_279</t>
  </si>
  <si>
    <t>Unidade_280</t>
  </si>
  <si>
    <t>Unidade_281</t>
  </si>
  <si>
    <t>Unidade_282</t>
  </si>
  <si>
    <t>Unidade_283</t>
  </si>
  <si>
    <t>Unidade_284</t>
  </si>
  <si>
    <t>Unidade_285</t>
  </si>
  <si>
    <t>Unidade_286</t>
  </si>
  <si>
    <t>Unidade_287</t>
  </si>
  <si>
    <t>Unidade_288</t>
  </si>
  <si>
    <t>Unidade_289</t>
  </si>
  <si>
    <t>Unidade_290</t>
  </si>
  <si>
    <t>Unidade_291</t>
  </si>
  <si>
    <t>Unidade_292</t>
  </si>
  <si>
    <t>Unidade_293</t>
  </si>
  <si>
    <t>Unidade_294</t>
  </si>
  <si>
    <t>Unidade_295</t>
  </si>
  <si>
    <t>Unidade_296</t>
  </si>
  <si>
    <t>Unidade_297</t>
  </si>
  <si>
    <t>Unidade_298</t>
  </si>
  <si>
    <t>Unidade_299</t>
  </si>
  <si>
    <t>Unidade_300</t>
  </si>
  <si>
    <t>Unidade_301</t>
  </si>
  <si>
    <t>Unidade_302</t>
  </si>
  <si>
    <t>Unidade_303</t>
  </si>
  <si>
    <t>Unidade_304</t>
  </si>
  <si>
    <t>Unidade_305</t>
  </si>
  <si>
    <t>Unidade_306</t>
  </si>
  <si>
    <t>Unidade_307</t>
  </si>
  <si>
    <t>Unidade_308</t>
  </si>
  <si>
    <t>Unidade_309</t>
  </si>
  <si>
    <t>Unidade_310</t>
  </si>
  <si>
    <t>Unidade_311</t>
  </si>
  <si>
    <t>Unidade_312</t>
  </si>
  <si>
    <t>Unidade_313</t>
  </si>
  <si>
    <t>Unidade_314</t>
  </si>
  <si>
    <t>Unidade_315</t>
  </si>
  <si>
    <t>Unidade_316</t>
  </si>
  <si>
    <t>Unidade_317</t>
  </si>
  <si>
    <t>Unidade_318</t>
  </si>
  <si>
    <t>Unidade_319</t>
  </si>
  <si>
    <t>Unidade_320</t>
  </si>
  <si>
    <t>Unidade_321</t>
  </si>
  <si>
    <t>Unidade_322</t>
  </si>
  <si>
    <t>Unidade_323</t>
  </si>
  <si>
    <t>Unidade_324</t>
  </si>
  <si>
    <t>Unidade_325</t>
  </si>
  <si>
    <t>Unidade_326</t>
  </si>
  <si>
    <t>Unidade_327</t>
  </si>
  <si>
    <t>Unidade_328</t>
  </si>
  <si>
    <t>Unidade_329</t>
  </si>
  <si>
    <t>Unidade_330</t>
  </si>
  <si>
    <t>Unidade_331</t>
  </si>
  <si>
    <t>Unidade_332</t>
  </si>
  <si>
    <t>Unidade_333</t>
  </si>
  <si>
    <t>Unidade_334</t>
  </si>
  <si>
    <t>Unidade_335</t>
  </si>
  <si>
    <t>Unidade_336</t>
  </si>
  <si>
    <t>Unidade_337</t>
  </si>
  <si>
    <t>Unidade_338</t>
  </si>
  <si>
    <t>Unidade_339</t>
  </si>
  <si>
    <t>Unidade_340</t>
  </si>
  <si>
    <t>Unidade_341</t>
  </si>
  <si>
    <t>Unidade_342</t>
  </si>
  <si>
    <t>Unidade_343</t>
  </si>
  <si>
    <t>Unidade_344</t>
  </si>
  <si>
    <t>Unidade_345</t>
  </si>
  <si>
    <t>Unidade_346</t>
  </si>
  <si>
    <t>Unidade_347</t>
  </si>
  <si>
    <t>Unidade_348</t>
  </si>
  <si>
    <t>Unidade_349</t>
  </si>
  <si>
    <t>Unidade_350</t>
  </si>
  <si>
    <t>Unidade_351</t>
  </si>
  <si>
    <t>Unidade_352</t>
  </si>
  <si>
    <t>Unidade_353</t>
  </si>
  <si>
    <t>Unidade_354</t>
  </si>
  <si>
    <t>Unidade_355</t>
  </si>
  <si>
    <t>Unidade_356</t>
  </si>
  <si>
    <t>Unidade_357</t>
  </si>
  <si>
    <t>Unidade_358</t>
  </si>
  <si>
    <t>Unidade_359</t>
  </si>
  <si>
    <t>Unidade_360</t>
  </si>
  <si>
    <t>Unidade_361</t>
  </si>
  <si>
    <t>Unidade_362</t>
  </si>
  <si>
    <t>Unidade_363</t>
  </si>
  <si>
    <t>Unidade_364</t>
  </si>
  <si>
    <t>Unidade_365</t>
  </si>
  <si>
    <t>Unidade_366</t>
  </si>
  <si>
    <t>Unidade_367</t>
  </si>
  <si>
    <t>Unidade_368</t>
  </si>
  <si>
    <t>Unidade_369</t>
  </si>
  <si>
    <t>Unidade_370</t>
  </si>
  <si>
    <t>Unidade_371</t>
  </si>
  <si>
    <t>Unidade_372</t>
  </si>
  <si>
    <t>Unidade_373</t>
  </si>
  <si>
    <t>Unidade_374</t>
  </si>
  <si>
    <t>Unidade_375</t>
  </si>
  <si>
    <t>Unidade_376</t>
  </si>
  <si>
    <t>Unidade_377</t>
  </si>
  <si>
    <t>Unidade_378</t>
  </si>
  <si>
    <t>Unidade_379</t>
  </si>
  <si>
    <t>Unidade_380</t>
  </si>
  <si>
    <t>Unidade_381</t>
  </si>
  <si>
    <t>Unidade_382</t>
  </si>
  <si>
    <t>Unidade_383</t>
  </si>
  <si>
    <t>Unidade_384</t>
  </si>
  <si>
    <t>Unidade_385</t>
  </si>
  <si>
    <t>Unidade_386</t>
  </si>
  <si>
    <t>Unidade_387</t>
  </si>
  <si>
    <t>Unidade_388</t>
  </si>
  <si>
    <t>Unidade_389</t>
  </si>
  <si>
    <t>Unidade_390</t>
  </si>
  <si>
    <t>Unidade_391</t>
  </si>
  <si>
    <t>Unidade_392</t>
  </si>
  <si>
    <t>Unidade_393</t>
  </si>
  <si>
    <t>Unidade_394</t>
  </si>
  <si>
    <t>Unidade_395</t>
  </si>
  <si>
    <t>Unidade_396</t>
  </si>
  <si>
    <t>Unidade_397</t>
  </si>
  <si>
    <t>Unidade_398</t>
  </si>
  <si>
    <t>Unidade_399</t>
  </si>
  <si>
    <t>Unidade_400</t>
  </si>
  <si>
    <t>Unidade_401</t>
  </si>
  <si>
    <t>Unidade_402</t>
  </si>
  <si>
    <t>Unidade_403</t>
  </si>
  <si>
    <t>Unidade_404</t>
  </si>
  <si>
    <t>Unidade_405</t>
  </si>
  <si>
    <t>Unidade_406</t>
  </si>
  <si>
    <t>Unidade_407</t>
  </si>
  <si>
    <t>Unidade_408</t>
  </si>
  <si>
    <t>Unidade_409</t>
  </si>
  <si>
    <t>Unidade_410</t>
  </si>
  <si>
    <t>Unidade_411</t>
  </si>
  <si>
    <t>Unidade_412</t>
  </si>
  <si>
    <t>Unidade_413</t>
  </si>
  <si>
    <t>Unidade_414</t>
  </si>
  <si>
    <t>Unidade_415</t>
  </si>
  <si>
    <t>Unidade_416</t>
  </si>
  <si>
    <t>Unidade_417</t>
  </si>
  <si>
    <t>Unidade_418</t>
  </si>
  <si>
    <t>Unidade_419</t>
  </si>
  <si>
    <t>Unidade_420</t>
  </si>
  <si>
    <t>Unidade_421</t>
  </si>
  <si>
    <t>Unidade_422</t>
  </si>
  <si>
    <t>Unidade_423</t>
  </si>
  <si>
    <t>Unidade_424</t>
  </si>
  <si>
    <t>Unidade_425</t>
  </si>
  <si>
    <t>Unidade_426</t>
  </si>
  <si>
    <t>Unidade_427</t>
  </si>
  <si>
    <t>Unidade_428</t>
  </si>
  <si>
    <t>Unidade_429</t>
  </si>
  <si>
    <t>Unidade_430</t>
  </si>
  <si>
    <t>Unidade_431</t>
  </si>
  <si>
    <t>Unidade_432</t>
  </si>
  <si>
    <t>Unidade_433</t>
  </si>
  <si>
    <t>Unidade_434</t>
  </si>
  <si>
    <t>Unidade_435</t>
  </si>
  <si>
    <t>Unidade_436</t>
  </si>
  <si>
    <t>Unidade_437</t>
  </si>
  <si>
    <t>Unidade_438</t>
  </si>
  <si>
    <t>Unidade_439</t>
  </si>
  <si>
    <t>Unidade_440</t>
  </si>
  <si>
    <t>Unidade_441</t>
  </si>
  <si>
    <t>Unidade_442</t>
  </si>
  <si>
    <t>Unidade_443</t>
  </si>
  <si>
    <t>Unidade_444</t>
  </si>
  <si>
    <t>Unidade_445</t>
  </si>
  <si>
    <t>Unidade_446</t>
  </si>
  <si>
    <t>Unidade_447</t>
  </si>
  <si>
    <t>Unidade_448</t>
  </si>
  <si>
    <t>Unidade_449</t>
  </si>
  <si>
    <t>Unidade_450</t>
  </si>
  <si>
    <t>Unidade_451</t>
  </si>
  <si>
    <t>Unidade_452</t>
  </si>
  <si>
    <t>Unidade_453</t>
  </si>
  <si>
    <t>Unidade_454</t>
  </si>
  <si>
    <t>Unidade_455</t>
  </si>
  <si>
    <t>Unidade_456</t>
  </si>
  <si>
    <t>Unidade_457</t>
  </si>
  <si>
    <t>Unidade_458</t>
  </si>
  <si>
    <t>Unidade_459</t>
  </si>
  <si>
    <t>Unidade_460</t>
  </si>
  <si>
    <t>Unidade_461</t>
  </si>
  <si>
    <t>Unidade_462</t>
  </si>
  <si>
    <t>Unidade_463</t>
  </si>
  <si>
    <t>Unidade_464</t>
  </si>
  <si>
    <t>Unidade_465</t>
  </si>
  <si>
    <t>Unidade_466</t>
  </si>
  <si>
    <t>Unidade_467</t>
  </si>
  <si>
    <t>Unidade_468</t>
  </si>
  <si>
    <t>Unidade_469</t>
  </si>
  <si>
    <t>Unidade_470</t>
  </si>
  <si>
    <t>Unidade_471</t>
  </si>
  <si>
    <t>Unidade_472</t>
  </si>
  <si>
    <t>Unidade_473</t>
  </si>
  <si>
    <t>Unidade_474</t>
  </si>
  <si>
    <t>Unidade_475</t>
  </si>
  <si>
    <t>Unidade_476</t>
  </si>
  <si>
    <t>Unidade_477</t>
  </si>
  <si>
    <t>Unidade_478</t>
  </si>
  <si>
    <t>Unidade_479</t>
  </si>
  <si>
    <t>Unidade_480</t>
  </si>
  <si>
    <t>Unidade_481</t>
  </si>
  <si>
    <t>Unidade_482</t>
  </si>
  <si>
    <t>Unidade_483</t>
  </si>
  <si>
    <t>Unidade_484</t>
  </si>
  <si>
    <t>Unidade_485</t>
  </si>
  <si>
    <t>Unidade_486</t>
  </si>
  <si>
    <t>Unidade_487</t>
  </si>
  <si>
    <t>Unidade_488</t>
  </si>
  <si>
    <t>Unidade_489</t>
  </si>
  <si>
    <t>Unidade_490</t>
  </si>
  <si>
    <t>Unidade_491</t>
  </si>
  <si>
    <t>Unidade_492</t>
  </si>
  <si>
    <t>Unidade_493</t>
  </si>
  <si>
    <t>Unidade_494</t>
  </si>
  <si>
    <t>Unidade_495</t>
  </si>
  <si>
    <t>Unidade_496</t>
  </si>
  <si>
    <t>Unidade_497</t>
  </si>
  <si>
    <t>Unidade_498</t>
  </si>
  <si>
    <t>Unidade_499</t>
  </si>
  <si>
    <t>Unidade_500</t>
  </si>
  <si>
    <t>Unidade_501</t>
  </si>
  <si>
    <t>Unidade_502</t>
  </si>
  <si>
    <t>Unidade_503</t>
  </si>
  <si>
    <t>Unidade_504</t>
  </si>
  <si>
    <t>Unidade_505</t>
  </si>
  <si>
    <t>Unidade_506</t>
  </si>
  <si>
    <t>Unidade_507</t>
  </si>
  <si>
    <t>Unidade_508</t>
  </si>
  <si>
    <t>Unidade_509</t>
  </si>
  <si>
    <t>Unidade_510</t>
  </si>
  <si>
    <t>Unidade_511</t>
  </si>
  <si>
    <t>Unidade_512</t>
  </si>
  <si>
    <t>Unidade_513</t>
  </si>
  <si>
    <t>Unidade_514</t>
  </si>
  <si>
    <t>Unidade_515</t>
  </si>
  <si>
    <t>Unidade_516</t>
  </si>
  <si>
    <t>Unidade_517</t>
  </si>
  <si>
    <t>Unidade_518</t>
  </si>
  <si>
    <t>Unidade_519</t>
  </si>
  <si>
    <t>Unidade_520</t>
  </si>
  <si>
    <t>Líder_Corp_001</t>
  </si>
  <si>
    <t>Líder_Corp_002</t>
  </si>
  <si>
    <t>Líder_Corp_003</t>
  </si>
  <si>
    <t>Líder_Corp_004</t>
  </si>
  <si>
    <t>Líder_Corp_005</t>
  </si>
  <si>
    <t>Líder_Corp_006</t>
  </si>
  <si>
    <t>Líder_Corp_007</t>
  </si>
  <si>
    <t>Líder_Corp_008</t>
  </si>
  <si>
    <t>Líder_Corp_009</t>
  </si>
  <si>
    <t>Líder_Corp_010</t>
  </si>
  <si>
    <t>Líder_Corp_011</t>
  </si>
  <si>
    <t>Líder_Corp_012</t>
  </si>
  <si>
    <t>Líder_Corp_013</t>
  </si>
  <si>
    <t>Líder_Corp_014</t>
  </si>
  <si>
    <t>Líder_Corp_015</t>
  </si>
  <si>
    <t>Líder_Corp_016</t>
  </si>
  <si>
    <t>Líder_Corp_017</t>
  </si>
  <si>
    <t>Líder_Corp_018</t>
  </si>
  <si>
    <t>Líder_Corp_019</t>
  </si>
  <si>
    <t>Líder_Corp_020</t>
  </si>
  <si>
    <t>Líder_Corp_021</t>
  </si>
  <si>
    <t>Líder_Corp_022</t>
  </si>
  <si>
    <t>Líder_Corp_023</t>
  </si>
  <si>
    <t>Líder_Corp_024</t>
  </si>
  <si>
    <t>Líder_Corp_025</t>
  </si>
  <si>
    <t>Líder_Corp_026</t>
  </si>
  <si>
    <t>Líder_Corp_027</t>
  </si>
  <si>
    <t>Líder_Corp_028</t>
  </si>
  <si>
    <t>Líder_Corp_029</t>
  </si>
  <si>
    <t>Líder_Corp_030</t>
  </si>
  <si>
    <t>Líder_Corp_031</t>
  </si>
  <si>
    <t>Líder_Corp_032</t>
  </si>
  <si>
    <t>Líder_Corp_033</t>
  </si>
  <si>
    <t>Líder_Corp_034</t>
  </si>
  <si>
    <t>Líder_Corp_035</t>
  </si>
  <si>
    <t>Líder_Corp_036</t>
  </si>
  <si>
    <t>Líder_Corp_037</t>
  </si>
  <si>
    <t>Líder_Corp_038</t>
  </si>
  <si>
    <t>Líder_Corp_039</t>
  </si>
  <si>
    <t>Líder_Corp_040</t>
  </si>
  <si>
    <t>Líder_Corp_041</t>
  </si>
  <si>
    <t>Líder_Corp_042</t>
  </si>
  <si>
    <t>Líder_Corp_043</t>
  </si>
  <si>
    <t>Líder_Corp_044</t>
  </si>
  <si>
    <t>Líder_Corp_045</t>
  </si>
  <si>
    <t>Líder_Corp_046</t>
  </si>
  <si>
    <t>Líder_Corp_047</t>
  </si>
  <si>
    <t>Líder_Corp_048</t>
  </si>
  <si>
    <t>Líder_Corp_049</t>
  </si>
  <si>
    <t>Líder_Corp_050</t>
  </si>
  <si>
    <t>Líder_Corp_051</t>
  </si>
  <si>
    <t>Líder_Corp_052</t>
  </si>
  <si>
    <t>Líder_Corp_053</t>
  </si>
  <si>
    <t>Líder_Corp_054</t>
  </si>
  <si>
    <t>Líder_Corp_055</t>
  </si>
  <si>
    <t>Líder_Corp_056</t>
  </si>
  <si>
    <t>Líder_Corp_057</t>
  </si>
  <si>
    <t>Líder_Corp_058</t>
  </si>
  <si>
    <t>Líder_Corp_059</t>
  </si>
  <si>
    <t>Líder_Corp_060</t>
  </si>
  <si>
    <t>Líder_Corp_061</t>
  </si>
  <si>
    <t>Líder_Corp_062</t>
  </si>
  <si>
    <t>Líder_Corp_063</t>
  </si>
  <si>
    <t>Líder_Corp_064</t>
  </si>
  <si>
    <t>Líder_Corp_065</t>
  </si>
  <si>
    <t>Líder_Corp_066</t>
  </si>
  <si>
    <t>Líder_Corp_067</t>
  </si>
  <si>
    <t>Líder_Corp_068</t>
  </si>
  <si>
    <t>Líder_Corp_069</t>
  </si>
  <si>
    <t>Líder_Corp_070</t>
  </si>
  <si>
    <t>Líder_Corp_071</t>
  </si>
  <si>
    <t>Líder_Corp_072</t>
  </si>
  <si>
    <t>Líder_Corp_073</t>
  </si>
  <si>
    <t>Líder_Corp_074</t>
  </si>
  <si>
    <t>Líder_Corp_075</t>
  </si>
  <si>
    <t>Líder_Corp_076</t>
  </si>
  <si>
    <t>Líder_Corp_077</t>
  </si>
  <si>
    <t>Líder_Corp_078</t>
  </si>
  <si>
    <t>Líder_Corp_079</t>
  </si>
  <si>
    <t>Líder_Corp_080</t>
  </si>
  <si>
    <t>Líder_Corp_081</t>
  </si>
  <si>
    <t>Líder_Corp_082</t>
  </si>
  <si>
    <t>Líder_Corp_083</t>
  </si>
  <si>
    <t>Líder_Corp_084</t>
  </si>
  <si>
    <t>Líder_Corp_085</t>
  </si>
  <si>
    <t>Líder_Corp_086</t>
  </si>
  <si>
    <t>Líder_Corp_087</t>
  </si>
  <si>
    <t>Líder_Corp_088</t>
  </si>
  <si>
    <t>Líder_Corp_089</t>
  </si>
  <si>
    <t>Líder_Corp_090</t>
  </si>
  <si>
    <t>Líder_Corp_091</t>
  </si>
  <si>
    <t>Líder_Corp_092</t>
  </si>
  <si>
    <t>Líder_Corp_093</t>
  </si>
  <si>
    <t>Líder_Corp_094</t>
  </si>
  <si>
    <t>Líder_Corp_095</t>
  </si>
  <si>
    <t>Líder_Corp_096</t>
  </si>
  <si>
    <t>Líder_Corp_097</t>
  </si>
  <si>
    <t>Líder_Corp_098</t>
  </si>
  <si>
    <t>Líder_Corp_099</t>
  </si>
  <si>
    <t>Líder_Corp_100</t>
  </si>
  <si>
    <t>Líder_Corp_101</t>
  </si>
  <si>
    <t>Líder_Corp_102</t>
  </si>
  <si>
    <t>Líder_Corp_103</t>
  </si>
  <si>
    <t>Líder_Corp_104</t>
  </si>
  <si>
    <t>Líder_Corp_105</t>
  </si>
  <si>
    <t>Líder_Corp_106</t>
  </si>
  <si>
    <t>Líder_Corp_107</t>
  </si>
  <si>
    <t>Líder_Corp_108</t>
  </si>
  <si>
    <t>Líder_Corp_109</t>
  </si>
  <si>
    <t>Líder_Corp_110</t>
  </si>
  <si>
    <t>Líder_Corp_111</t>
  </si>
  <si>
    <t>Líder_Corp_112</t>
  </si>
  <si>
    <t>Líder_Corp_113</t>
  </si>
  <si>
    <t>Líder_Corp_114</t>
  </si>
  <si>
    <t>Líder_Corp_115</t>
  </si>
  <si>
    <t>Líder_Corp_116</t>
  </si>
  <si>
    <t>Líder_Corp_117</t>
  </si>
  <si>
    <t>Líder_Corp_118</t>
  </si>
  <si>
    <t>Líder_Corp_119</t>
  </si>
  <si>
    <t>Líder_Corp_120</t>
  </si>
  <si>
    <t>Líder_Corp_121</t>
  </si>
  <si>
    <t>Líder_Corp_122</t>
  </si>
  <si>
    <t>Líder_Corp_123</t>
  </si>
  <si>
    <t>Líder_Corp_124</t>
  </si>
  <si>
    <t>Líder_Corp_125</t>
  </si>
  <si>
    <t>Líder_Corp_126</t>
  </si>
  <si>
    <t>Líder_Corp_127</t>
  </si>
  <si>
    <t>Líder_Corp_128</t>
  </si>
  <si>
    <t>Líder_Corp_129</t>
  </si>
  <si>
    <t>Líder_Corp_130</t>
  </si>
  <si>
    <t>Líder_Corp_131</t>
  </si>
  <si>
    <t>Líder_Corp_132</t>
  </si>
  <si>
    <t>Líder_Corp_133</t>
  </si>
  <si>
    <t>Líder_Corp_134</t>
  </si>
  <si>
    <t>Líder_Corp_135</t>
  </si>
  <si>
    <t>Líder_Corp_136</t>
  </si>
  <si>
    <t>Líder_Corp_137</t>
  </si>
  <si>
    <t>Líder_Corp_138</t>
  </si>
  <si>
    <t>Líder_Corp_139</t>
  </si>
  <si>
    <t>Líder_Corp_140</t>
  </si>
  <si>
    <t>Líder_Corp_141</t>
  </si>
  <si>
    <t>Líder_Corp_142</t>
  </si>
  <si>
    <t>Líder_Corp_143</t>
  </si>
  <si>
    <t>Líder_Corp_144</t>
  </si>
  <si>
    <t>Líder_Corp_145</t>
  </si>
  <si>
    <t>Líder_Corp_146</t>
  </si>
  <si>
    <t>Líder_Corp_147</t>
  </si>
  <si>
    <t>Líder_Corp_148</t>
  </si>
  <si>
    <t>Líder_Corp_149</t>
  </si>
  <si>
    <t>Líder_Corp_150</t>
  </si>
  <si>
    <t>Líder_Corp_151</t>
  </si>
  <si>
    <t>Líder_Corp_152</t>
  </si>
  <si>
    <t>Líder_Corp_153</t>
  </si>
  <si>
    <t>Líder_Corp_154</t>
  </si>
  <si>
    <t>Líder_Corp_155</t>
  </si>
  <si>
    <t>Líder_Corp_156</t>
  </si>
  <si>
    <t>Líder_Corp_157</t>
  </si>
  <si>
    <t>Líder_Corp_158</t>
  </si>
  <si>
    <t>Líder_Corp_159</t>
  </si>
  <si>
    <t>Líder_Corp_160</t>
  </si>
  <si>
    <t>Líder_Corp_161</t>
  </si>
  <si>
    <t>Líder_Corp_162</t>
  </si>
  <si>
    <t>Líder_Corp_163</t>
  </si>
  <si>
    <t>Líder_Corp_164</t>
  </si>
  <si>
    <t>Líder_Corp_165</t>
  </si>
  <si>
    <t>Líder_Corp_166</t>
  </si>
  <si>
    <t>Líder_Corp_167</t>
  </si>
  <si>
    <t>Líder_Corp_168</t>
  </si>
  <si>
    <t>Líder_Corp_169</t>
  </si>
  <si>
    <t>Líder_Corp_170</t>
  </si>
  <si>
    <t>Líder_Corp_171</t>
  </si>
  <si>
    <t>Líder_Corp_172</t>
  </si>
  <si>
    <t>Líder_Corp_173</t>
  </si>
  <si>
    <t>Líder_Corp_174</t>
  </si>
  <si>
    <t>Líder_Corp_175</t>
  </si>
  <si>
    <t>Líder_Corp_176</t>
  </si>
  <si>
    <t>Líder_Corp_177</t>
  </si>
  <si>
    <t>Líder_Corp_178</t>
  </si>
  <si>
    <t>Líder_Corp_179</t>
  </si>
  <si>
    <t>Líder_Corp_180</t>
  </si>
  <si>
    <t>Líder_Corp_181</t>
  </si>
  <si>
    <t>Líder_Corp_182</t>
  </si>
  <si>
    <t>Líder_Corp_183</t>
  </si>
  <si>
    <t>Líder_Corp_184</t>
  </si>
  <si>
    <t>Líder_Corp_185</t>
  </si>
  <si>
    <t>Líder_Corp_186</t>
  </si>
  <si>
    <t>Líder_Corp_187</t>
  </si>
  <si>
    <t>Líder_Corp_188</t>
  </si>
  <si>
    <t>Líder_Corp_189</t>
  </si>
  <si>
    <t>Líder_Corp_190</t>
  </si>
  <si>
    <t>Líder_Corp_191</t>
  </si>
  <si>
    <t>Líder_Corp_192</t>
  </si>
  <si>
    <t>Líder_Corp_193</t>
  </si>
  <si>
    <t>Líder_Corp_194</t>
  </si>
  <si>
    <t>Líder_Corp_195</t>
  </si>
  <si>
    <t>Líder_Corp_196</t>
  </si>
  <si>
    <t>Líder_Corp_197</t>
  </si>
  <si>
    <t>Líder_Corp_198</t>
  </si>
  <si>
    <t>Líder_Corp_199</t>
  </si>
  <si>
    <t>Líder_Corp_200</t>
  </si>
  <si>
    <t>Líder_Corp_201</t>
  </si>
  <si>
    <t>Líder_Corp_202</t>
  </si>
  <si>
    <t>Líder_Corp_203</t>
  </si>
  <si>
    <t>Líder_Corp_204</t>
  </si>
  <si>
    <t>Líder_Corp_205</t>
  </si>
  <si>
    <t>Líder_Corp_206</t>
  </si>
  <si>
    <t>Líder_Corp_207</t>
  </si>
  <si>
    <t>Líder_Corp_208</t>
  </si>
  <si>
    <t>Líder_Corp_209</t>
  </si>
  <si>
    <t>Líder_Corp_210</t>
  </si>
  <si>
    <t>Líder_Corp_211</t>
  </si>
  <si>
    <t>Líder_Corp_212</t>
  </si>
  <si>
    <t>Líder_Corp_213</t>
  </si>
  <si>
    <t>Líder_Corp_214</t>
  </si>
  <si>
    <t>Líder_Corp_215</t>
  </si>
  <si>
    <t>Líder_Corp_216</t>
  </si>
  <si>
    <t>Líder_Corp_217</t>
  </si>
  <si>
    <t>Líder_Corp_218</t>
  </si>
  <si>
    <t>Líder_Corp_219</t>
  </si>
  <si>
    <t>Líder_Corp_220</t>
  </si>
  <si>
    <t>Líder_Corp_221</t>
  </si>
  <si>
    <t>Líder_Corp_222</t>
  </si>
  <si>
    <t>Líder_Corp_223</t>
  </si>
  <si>
    <t>Líder_Corp_224</t>
  </si>
  <si>
    <t>Líder_Corp_225</t>
  </si>
  <si>
    <t>Líder_Corp_226</t>
  </si>
  <si>
    <t>Líder_Corp_227</t>
  </si>
  <si>
    <t>Líder_Corp_228</t>
  </si>
  <si>
    <t>Líder_Corp_229</t>
  </si>
  <si>
    <t>Líder_Corp_230</t>
  </si>
  <si>
    <t>Líder_Corp_231</t>
  </si>
  <si>
    <t>Líder_Corp_232</t>
  </si>
  <si>
    <t>Líder_Corp_233</t>
  </si>
  <si>
    <t>Líder_Corp_234</t>
  </si>
  <si>
    <t>Líder_Corp_235</t>
  </si>
  <si>
    <t>Líder_Corp_236</t>
  </si>
  <si>
    <t>Líder_Corp_237</t>
  </si>
  <si>
    <t>Líder_Corp_238</t>
  </si>
  <si>
    <t>Líder_Corp_239</t>
  </si>
  <si>
    <t>Líder_Corp_240</t>
  </si>
  <si>
    <t>Líder_Corp_241</t>
  </si>
  <si>
    <t>Líder_Corp_242</t>
  </si>
  <si>
    <t>Líder_Corp_243</t>
  </si>
  <si>
    <t>Líder_Corp_244</t>
  </si>
  <si>
    <t>Líder_Corp_245</t>
  </si>
  <si>
    <t>Líder_Corp_246</t>
  </si>
  <si>
    <t>Líder_Corp_247</t>
  </si>
  <si>
    <t>Líder_Corp_248</t>
  </si>
  <si>
    <t>Líder_Corp_249</t>
  </si>
  <si>
    <t>Líder_Corp_250</t>
  </si>
  <si>
    <t>Líder_Corp_251</t>
  </si>
  <si>
    <t>Líder_Corp_252</t>
  </si>
  <si>
    <t>Líder_Corp_253</t>
  </si>
  <si>
    <t>Líder_Corp_254</t>
  </si>
  <si>
    <t>Líder_Corp_255</t>
  </si>
  <si>
    <t>Líder_Corp_256</t>
  </si>
  <si>
    <t>Líder_Corp_257</t>
  </si>
  <si>
    <t>Líder_Corp_258</t>
  </si>
  <si>
    <t>Líder_Corp_259</t>
  </si>
  <si>
    <t>Líder_Corp_260</t>
  </si>
  <si>
    <t>Líder_Corp_261</t>
  </si>
  <si>
    <t>Líder_Corp_262</t>
  </si>
  <si>
    <t>Líder_Corp_263</t>
  </si>
  <si>
    <t>Líder_Corp_264</t>
  </si>
  <si>
    <t>Líder_Corp_265</t>
  </si>
  <si>
    <t>Líder_Corp_266</t>
  </si>
  <si>
    <t>Líder_Corp_267</t>
  </si>
  <si>
    <t>Líder_Corp_268</t>
  </si>
  <si>
    <t>Líder_Corp_269</t>
  </si>
  <si>
    <t>Líder_Corp_270</t>
  </si>
  <si>
    <t>Líder_Corp_271</t>
  </si>
  <si>
    <t>Líder_Corp_272</t>
  </si>
  <si>
    <t>Líder_Corp_273</t>
  </si>
  <si>
    <t>Líder_Corp_274</t>
  </si>
  <si>
    <t>Líder_Corp_275</t>
  </si>
  <si>
    <t>Líder_Corp_276</t>
  </si>
  <si>
    <t>Líder_Corp_277</t>
  </si>
  <si>
    <t>Líder_Corp_278</t>
  </si>
  <si>
    <t>Líder_Corp_279</t>
  </si>
  <si>
    <t>Líder_Corp_280</t>
  </si>
  <si>
    <t>Líder_Corp_281</t>
  </si>
  <si>
    <t>Líder_Corp_282</t>
  </si>
  <si>
    <t>Líder_Corp_283</t>
  </si>
  <si>
    <t>Líder_Corp_284</t>
  </si>
  <si>
    <t>Líder_Corp_285</t>
  </si>
  <si>
    <t>Líder_Corp_286</t>
  </si>
  <si>
    <t>Líder_Corp_287</t>
  </si>
  <si>
    <t>Líder_Corp_288</t>
  </si>
  <si>
    <t>Líder_Corp_289</t>
  </si>
  <si>
    <t>Líder_Corp_290</t>
  </si>
  <si>
    <t>Líder_Corp_291</t>
  </si>
  <si>
    <t>Líder_Corp_292</t>
  </si>
  <si>
    <t>Líder_Corp_293</t>
  </si>
  <si>
    <t>Líder_Corp_294</t>
  </si>
  <si>
    <t>Líder_Corp_295</t>
  </si>
  <si>
    <t>Líder_Corp_296</t>
  </si>
  <si>
    <t>Líder_Corp_297</t>
  </si>
  <si>
    <t>Líder_Corp_298</t>
  </si>
  <si>
    <t>Líder_Corp_299</t>
  </si>
  <si>
    <t>Líder_Corp_300</t>
  </si>
  <si>
    <t>Líder_Corp_301</t>
  </si>
  <si>
    <t>Líder_Corp_302</t>
  </si>
  <si>
    <t>Líder_Corp_303</t>
  </si>
  <si>
    <t>Líder_Corp_304</t>
  </si>
  <si>
    <t>Líder_Corp_305</t>
  </si>
  <si>
    <t>Líder_Corp_306</t>
  </si>
  <si>
    <t>Líder_Corp_307</t>
  </si>
  <si>
    <t>Líder_Corp_308</t>
  </si>
  <si>
    <t>Líder_Corp_309</t>
  </si>
  <si>
    <t>Líder_Corp_310</t>
  </si>
  <si>
    <t>Líder_Corp_311</t>
  </si>
  <si>
    <t>Líder_Corp_312</t>
  </si>
  <si>
    <t>Líder_Corp_313</t>
  </si>
  <si>
    <t>Líder_Corp_314</t>
  </si>
  <si>
    <t>Líder_Corp_315</t>
  </si>
  <si>
    <t>Líder_Corp_316</t>
  </si>
  <si>
    <t>Líder_Corp_317</t>
  </si>
  <si>
    <t>Líder_Corp_318</t>
  </si>
  <si>
    <t>Líder_Corp_319</t>
  </si>
  <si>
    <t>Líder_Corp_320</t>
  </si>
  <si>
    <t>Líder_Corp_321</t>
  </si>
  <si>
    <t>Líder_Corp_322</t>
  </si>
  <si>
    <t>Líder_Corp_323</t>
  </si>
  <si>
    <t>Líder_Corp_324</t>
  </si>
  <si>
    <t>Líder_Corp_325</t>
  </si>
  <si>
    <t>Líder_Corp_326</t>
  </si>
  <si>
    <t>Líder_Corp_327</t>
  </si>
  <si>
    <t>Líder_Corp_328</t>
  </si>
  <si>
    <t>Líder_Corp_329</t>
  </si>
  <si>
    <t>Líder_Corp_330</t>
  </si>
  <si>
    <t>Líder_Corp_331</t>
  </si>
  <si>
    <t>Líder_Corp_332</t>
  </si>
  <si>
    <t>Líder_Corp_333</t>
  </si>
  <si>
    <t>Líder_Corp_334</t>
  </si>
  <si>
    <t>Líder_Corp_335</t>
  </si>
  <si>
    <t>Líder_Corp_336</t>
  </si>
  <si>
    <t>Líder_Corp_337</t>
  </si>
  <si>
    <t>Líder_Corp_338</t>
  </si>
  <si>
    <t>Líder_Corp_339</t>
  </si>
  <si>
    <t>Líder_Corp_340</t>
  </si>
  <si>
    <t>Líder_Corp_341</t>
  </si>
  <si>
    <t>Líder_Corp_342</t>
  </si>
  <si>
    <t>Líder_Corp_343</t>
  </si>
  <si>
    <t>Líder_Corp_344</t>
  </si>
  <si>
    <t>Líder_Corp_345</t>
  </si>
  <si>
    <t>Líder_Corp_346</t>
  </si>
  <si>
    <t>Líder_Corp_347</t>
  </si>
  <si>
    <t>Líder_Corp_348</t>
  </si>
  <si>
    <t>Líder_Corp_349</t>
  </si>
  <si>
    <t>Líder_Corp_350</t>
  </si>
  <si>
    <t>Líder_Corp_351</t>
  </si>
  <si>
    <t>Líder_Corp_352</t>
  </si>
  <si>
    <t>Líder_Corp_353</t>
  </si>
  <si>
    <t>Líder_Corp_354</t>
  </si>
  <si>
    <t>Líder_Corp_355</t>
  </si>
  <si>
    <t>Líder_Corp_356</t>
  </si>
  <si>
    <t>Líder_Corp_357</t>
  </si>
  <si>
    <t>Líder_Corp_358</t>
  </si>
  <si>
    <t>Líder_Corp_359</t>
  </si>
  <si>
    <t>Líder_Corp_360</t>
  </si>
  <si>
    <t>Líder_Corp_361</t>
  </si>
  <si>
    <t>Líder_Corp_362</t>
  </si>
  <si>
    <t>Líder_Corp_363</t>
  </si>
  <si>
    <t>Líder_Corp_364</t>
  </si>
  <si>
    <t>Líder_Corp_365</t>
  </si>
  <si>
    <t>Líder_Corp_366</t>
  </si>
  <si>
    <t>Líder_Corp_367</t>
  </si>
  <si>
    <t>Líder_Corp_368</t>
  </si>
  <si>
    <t>Líder_Corp_369</t>
  </si>
  <si>
    <t>Líder_Corp_370</t>
  </si>
  <si>
    <t>Líder_Corp_371</t>
  </si>
  <si>
    <t>Líder_Corp_372</t>
  </si>
  <si>
    <t>Líder_Corp_373</t>
  </si>
  <si>
    <t>Líder_Corp_374</t>
  </si>
  <si>
    <t>Líder_Corp_375</t>
  </si>
  <si>
    <t>Líder_Corp_376</t>
  </si>
  <si>
    <t>Líder_Corp_377</t>
  </si>
  <si>
    <t>Líder_Corp_378</t>
  </si>
  <si>
    <t>Líder_Corp_379</t>
  </si>
  <si>
    <t>Líder_Corp_380</t>
  </si>
  <si>
    <t>Líder_Corp_381</t>
  </si>
  <si>
    <t>Líder_Corp_382</t>
  </si>
  <si>
    <t>Líder_Corp_383</t>
  </si>
  <si>
    <t>Líder_Corp_384</t>
  </si>
  <si>
    <t>Líder_Corp_385</t>
  </si>
  <si>
    <t>Líder_Corp_386</t>
  </si>
  <si>
    <t>Líder_Corp_387</t>
  </si>
  <si>
    <t>Líder_Corp_388</t>
  </si>
  <si>
    <t>Líder_Corp_389</t>
  </si>
  <si>
    <t>Líder_Corp_390</t>
  </si>
  <si>
    <t>Líder_Corp_391</t>
  </si>
  <si>
    <t>Líder_Corp_392</t>
  </si>
  <si>
    <t>Líder_Corp_393</t>
  </si>
  <si>
    <t>Líder_Corp_394</t>
  </si>
  <si>
    <t>Líder_Corp_395</t>
  </si>
  <si>
    <t>Líder_Corp_396</t>
  </si>
  <si>
    <t>Líder_Corp_397</t>
  </si>
  <si>
    <t>Líder_Corp_398</t>
  </si>
  <si>
    <t>Líder_Corp_399</t>
  </si>
  <si>
    <t>Líder_Corp_400</t>
  </si>
  <si>
    <t>Líder_Corp_401</t>
  </si>
  <si>
    <t>Líder_Corp_402</t>
  </si>
  <si>
    <t>Líder_Corp_403</t>
  </si>
  <si>
    <t>Líder_Corp_404</t>
  </si>
  <si>
    <t>Líder_Corp_405</t>
  </si>
  <si>
    <t>Líder_Corp_406</t>
  </si>
  <si>
    <t>Líder_Corp_407</t>
  </si>
  <si>
    <t>Líder_Corp_408</t>
  </si>
  <si>
    <t>Líder_Corp_409</t>
  </si>
  <si>
    <t>Líder_Corp_410</t>
  </si>
  <si>
    <t>Líder_Corp_411</t>
  </si>
  <si>
    <t>Líder_Corp_412</t>
  </si>
  <si>
    <t>Líder_Corp_413</t>
  </si>
  <si>
    <t>Líder_Corp_414</t>
  </si>
  <si>
    <t>Líder_Corp_415</t>
  </si>
  <si>
    <t>Líder_Corp_416</t>
  </si>
  <si>
    <t>Líder_Corp_417</t>
  </si>
  <si>
    <t>Líder_Corp_418</t>
  </si>
  <si>
    <t>Líder_Corp_419</t>
  </si>
  <si>
    <t>Líder_Corp_420</t>
  </si>
  <si>
    <t>Líder_Corp_421</t>
  </si>
  <si>
    <t>Líder_Corp_422</t>
  </si>
  <si>
    <t>Líder_Corp_423</t>
  </si>
  <si>
    <t>Líder_Corp_424</t>
  </si>
  <si>
    <t>Líder_Corp_425</t>
  </si>
  <si>
    <t>Líder_Corp_426</t>
  </si>
  <si>
    <t>Líder_Corp_427</t>
  </si>
  <si>
    <t>Líder_Corp_428</t>
  </si>
  <si>
    <t>Líder_Corp_429</t>
  </si>
  <si>
    <t>Líder_Corp_430</t>
  </si>
  <si>
    <t>Líder_Corp_431</t>
  </si>
  <si>
    <t>Líder_Corp_432</t>
  </si>
  <si>
    <t>Líder_Corp_433</t>
  </si>
  <si>
    <t>Líder_Corp_434</t>
  </si>
  <si>
    <t>Líder_Corp_435</t>
  </si>
  <si>
    <t>Líder_Corp_436</t>
  </si>
  <si>
    <t>Líder_Corp_437</t>
  </si>
  <si>
    <t>Líder_Corp_438</t>
  </si>
  <si>
    <t>Líder_Corp_439</t>
  </si>
  <si>
    <t>Líder_Corp_440</t>
  </si>
  <si>
    <t>Líder_Corp_441</t>
  </si>
  <si>
    <t>Líder_Corp_442</t>
  </si>
  <si>
    <t>Líder_Corp_443</t>
  </si>
  <si>
    <t>Líder_Corp_444</t>
  </si>
  <si>
    <t>Líder_Corp_445</t>
  </si>
  <si>
    <t>Líder_Corp_446</t>
  </si>
  <si>
    <t>Líder_Corp_447</t>
  </si>
  <si>
    <t>Líder_Corp_448</t>
  </si>
  <si>
    <t>Líder_Corp_449</t>
  </si>
  <si>
    <t>Líder_Corp_450</t>
  </si>
  <si>
    <t>Líder_Corp_451</t>
  </si>
  <si>
    <t>Líder_Corp_452</t>
  </si>
  <si>
    <t>Líder_Corp_453</t>
  </si>
  <si>
    <t>Líder_Corp_454</t>
  </si>
  <si>
    <t>Líder_Corp_455</t>
  </si>
  <si>
    <t>Líder_Corp_456</t>
  </si>
  <si>
    <t>Líder_Corp_457</t>
  </si>
  <si>
    <t>Líder_Corp_458</t>
  </si>
  <si>
    <t>Líder_Corp_459</t>
  </si>
  <si>
    <t>Líder_Corp_460</t>
  </si>
  <si>
    <t>Líder_Corp_461</t>
  </si>
  <si>
    <t>Líder_Corp_462</t>
  </si>
  <si>
    <t>Líder_Corp_463</t>
  </si>
  <si>
    <t>Líder_Corp_464</t>
  </si>
  <si>
    <t>Líder_Corp_465</t>
  </si>
  <si>
    <t>Líder_Corp_466</t>
  </si>
  <si>
    <t>Líder_Corp_467</t>
  </si>
  <si>
    <t>Líder_Corp_468</t>
  </si>
  <si>
    <t>Líder_Corp_469</t>
  </si>
  <si>
    <t>Líder_Corp_470</t>
  </si>
  <si>
    <t>Líder_Corp_471</t>
  </si>
  <si>
    <t>Líder_Corp_472</t>
  </si>
  <si>
    <t>Líder_Corp_473</t>
  </si>
  <si>
    <t>Líder_Corp_474</t>
  </si>
  <si>
    <t>Líder_Corp_475</t>
  </si>
  <si>
    <t>Líder_Corp_476</t>
  </si>
  <si>
    <t>Líder_Corp_477</t>
  </si>
  <si>
    <t>Líder_Corp_478</t>
  </si>
  <si>
    <t>Líder_Corp_479</t>
  </si>
  <si>
    <t>Líder_Corp_480</t>
  </si>
  <si>
    <t>Líder_Corp_481</t>
  </si>
  <si>
    <t>Líder_Corp_482</t>
  </si>
  <si>
    <t>Líder_Corp_483</t>
  </si>
  <si>
    <t>Líder_Corp_484</t>
  </si>
  <si>
    <t>Líder_Corp_485</t>
  </si>
  <si>
    <t>Líder_Corp_486</t>
  </si>
  <si>
    <t>Líder_Corp_487</t>
  </si>
  <si>
    <t>Líder_Corp_488</t>
  </si>
  <si>
    <t>Líder_Corp_489</t>
  </si>
  <si>
    <t>Líder_Corp_490</t>
  </si>
  <si>
    <t>Líder_Corp_491</t>
  </si>
  <si>
    <t>Líder_Corp_492</t>
  </si>
  <si>
    <t>Líder_Corp_493</t>
  </si>
  <si>
    <t>Líder_Corp_494</t>
  </si>
  <si>
    <t>Líder_Corp_495</t>
  </si>
  <si>
    <t>Líder_Corp_496</t>
  </si>
  <si>
    <t>Líder_Corp_497</t>
  </si>
  <si>
    <t>Líder_Corp_498</t>
  </si>
  <si>
    <t>Líder_Corp_499</t>
  </si>
  <si>
    <t>Líder_Corp_500</t>
  </si>
  <si>
    <t>Líder_Corp_501</t>
  </si>
  <si>
    <t>Líder_Corp_502</t>
  </si>
  <si>
    <t>Líder_Corp_503</t>
  </si>
  <si>
    <t>Líder_Corp_504</t>
  </si>
  <si>
    <t>Líder_Corp_505</t>
  </si>
  <si>
    <t>Líder_Corp_506</t>
  </si>
  <si>
    <t>Líder_Corp_507</t>
  </si>
  <si>
    <t>Líder_Corp_508</t>
  </si>
  <si>
    <t>Líder_Corp_509</t>
  </si>
  <si>
    <t>Líder_Corp_510</t>
  </si>
  <si>
    <t>Líder_Corp_511</t>
  </si>
  <si>
    <t>Líder_Corp_512</t>
  </si>
  <si>
    <t>Líder_Corp_513</t>
  </si>
  <si>
    <t>Líder_Corp_514</t>
  </si>
  <si>
    <t>Líder_Corp_515</t>
  </si>
  <si>
    <t>Líder_Corp_516</t>
  </si>
  <si>
    <t>Líder_Corp_517</t>
  </si>
  <si>
    <t>Líder_Corp_518</t>
  </si>
  <si>
    <t>Líder_Corp_519</t>
  </si>
  <si>
    <t>Líder_Corp_520</t>
  </si>
  <si>
    <t>Líder_Imed_001</t>
  </si>
  <si>
    <t>Líder_Imed_002</t>
  </si>
  <si>
    <t>Líder_Imed_003</t>
  </si>
  <si>
    <t>Líder_Imed_004</t>
  </si>
  <si>
    <t>Líder_Imed_005</t>
  </si>
  <si>
    <t>Líder_Imed_006</t>
  </si>
  <si>
    <t>Líder_Imed_007</t>
  </si>
  <si>
    <t>Líder_Imed_008</t>
  </si>
  <si>
    <t>Líder_Imed_009</t>
  </si>
  <si>
    <t>Líder_Imed_010</t>
  </si>
  <si>
    <t>Líder_Imed_011</t>
  </si>
  <si>
    <t>Líder_Imed_012</t>
  </si>
  <si>
    <t>Líder_Imed_013</t>
  </si>
  <si>
    <t>Líder_Imed_014</t>
  </si>
  <si>
    <t>Líder_Imed_015</t>
  </si>
  <si>
    <t>Líder_Imed_016</t>
  </si>
  <si>
    <t>Líder_Imed_017</t>
  </si>
  <si>
    <t>Líder_Imed_018</t>
  </si>
  <si>
    <t>Líder_Imed_019</t>
  </si>
  <si>
    <t>Líder_Imed_020</t>
  </si>
  <si>
    <t>Líder_Imed_021</t>
  </si>
  <si>
    <t>Líder_Imed_022</t>
  </si>
  <si>
    <t>Líder_Imed_023</t>
  </si>
  <si>
    <t>Líder_Imed_024</t>
  </si>
  <si>
    <t>Líder_Imed_025</t>
  </si>
  <si>
    <t>Líder_Imed_026</t>
  </si>
  <si>
    <t>Líder_Imed_027</t>
  </si>
  <si>
    <t>Líder_Imed_028</t>
  </si>
  <si>
    <t>Líder_Imed_029</t>
  </si>
  <si>
    <t>Líder_Imed_030</t>
  </si>
  <si>
    <t>Líder_Imed_031</t>
  </si>
  <si>
    <t>Líder_Imed_032</t>
  </si>
  <si>
    <t>Líder_Imed_033</t>
  </si>
  <si>
    <t>Líder_Imed_034</t>
  </si>
  <si>
    <t>Líder_Imed_035</t>
  </si>
  <si>
    <t>Líder_Imed_036</t>
  </si>
  <si>
    <t>Líder_Imed_037</t>
  </si>
  <si>
    <t>Líder_Imed_038</t>
  </si>
  <si>
    <t>Líder_Imed_039</t>
  </si>
  <si>
    <t>Líder_Imed_040</t>
  </si>
  <si>
    <t>Líder_Imed_041</t>
  </si>
  <si>
    <t>Líder_Imed_042</t>
  </si>
  <si>
    <t>Líder_Imed_043</t>
  </si>
  <si>
    <t>Líder_Imed_044</t>
  </si>
  <si>
    <t>Líder_Imed_045</t>
  </si>
  <si>
    <t>Líder_Imed_046</t>
  </si>
  <si>
    <t>Líder_Imed_047</t>
  </si>
  <si>
    <t>Líder_Imed_048</t>
  </si>
  <si>
    <t>Líder_Imed_049</t>
  </si>
  <si>
    <t>Líder_Imed_050</t>
  </si>
  <si>
    <t>Líder_Imed_051</t>
  </si>
  <si>
    <t>Líder_Imed_052</t>
  </si>
  <si>
    <t>Líder_Imed_053</t>
  </si>
  <si>
    <t>Líder_Imed_054</t>
  </si>
  <si>
    <t>Líder_Imed_055</t>
  </si>
  <si>
    <t>Líder_Imed_056</t>
  </si>
  <si>
    <t>Líder_Imed_057</t>
  </si>
  <si>
    <t>Líder_Imed_058</t>
  </si>
  <si>
    <t>Líder_Imed_059</t>
  </si>
  <si>
    <t>Líder_Imed_060</t>
  </si>
  <si>
    <t>Líder_Imed_061</t>
  </si>
  <si>
    <t>Líder_Imed_062</t>
  </si>
  <si>
    <t>Líder_Imed_063</t>
  </si>
  <si>
    <t>Líder_Imed_064</t>
  </si>
  <si>
    <t>Líder_Imed_065</t>
  </si>
  <si>
    <t>Líder_Imed_066</t>
  </si>
  <si>
    <t>Líder_Imed_067</t>
  </si>
  <si>
    <t>Líder_Imed_068</t>
  </si>
  <si>
    <t>Líder_Imed_069</t>
  </si>
  <si>
    <t>Líder_Imed_070</t>
  </si>
  <si>
    <t>Líder_Imed_071</t>
  </si>
  <si>
    <t>Líder_Imed_072</t>
  </si>
  <si>
    <t>Líder_Imed_073</t>
  </si>
  <si>
    <t>Líder_Imed_074</t>
  </si>
  <si>
    <t>Líder_Imed_075</t>
  </si>
  <si>
    <t>Líder_Imed_076</t>
  </si>
  <si>
    <t>Líder_Imed_077</t>
  </si>
  <si>
    <t>Líder_Imed_078</t>
  </si>
  <si>
    <t>Líder_Imed_079</t>
  </si>
  <si>
    <t>Líder_Imed_080</t>
  </si>
  <si>
    <t>Líder_Imed_081</t>
  </si>
  <si>
    <t>Líder_Imed_082</t>
  </si>
  <si>
    <t>Líder_Imed_083</t>
  </si>
  <si>
    <t>Líder_Imed_084</t>
  </si>
  <si>
    <t>Líder_Imed_085</t>
  </si>
  <si>
    <t>Líder_Imed_086</t>
  </si>
  <si>
    <t>Líder_Imed_087</t>
  </si>
  <si>
    <t>Líder_Imed_088</t>
  </si>
  <si>
    <t>Líder_Imed_089</t>
  </si>
  <si>
    <t>Líder_Imed_090</t>
  </si>
  <si>
    <t>Líder_Imed_091</t>
  </si>
  <si>
    <t>Líder_Imed_092</t>
  </si>
  <si>
    <t>Líder_Imed_093</t>
  </si>
  <si>
    <t>Líder_Imed_094</t>
  </si>
  <si>
    <t>Líder_Imed_095</t>
  </si>
  <si>
    <t>Líder_Imed_096</t>
  </si>
  <si>
    <t>Líder_Imed_097</t>
  </si>
  <si>
    <t>Líder_Imed_098</t>
  </si>
  <si>
    <t>Líder_Imed_099</t>
  </si>
  <si>
    <t>Líder_Imed_100</t>
  </si>
  <si>
    <t>Líder_Imed_101</t>
  </si>
  <si>
    <t>Líder_Imed_102</t>
  </si>
  <si>
    <t>Líder_Imed_103</t>
  </si>
  <si>
    <t>Líder_Imed_104</t>
  </si>
  <si>
    <t>Líder_Imed_105</t>
  </si>
  <si>
    <t>Líder_Imed_106</t>
  </si>
  <si>
    <t>Líder_Imed_107</t>
  </si>
  <si>
    <t>Líder_Imed_108</t>
  </si>
  <si>
    <t>Líder_Imed_109</t>
  </si>
  <si>
    <t>Líder_Imed_110</t>
  </si>
  <si>
    <t>Líder_Imed_111</t>
  </si>
  <si>
    <t>Líder_Imed_112</t>
  </si>
  <si>
    <t>Líder_Imed_113</t>
  </si>
  <si>
    <t>Líder_Imed_114</t>
  </si>
  <si>
    <t>Líder_Imed_115</t>
  </si>
  <si>
    <t>Líder_Imed_116</t>
  </si>
  <si>
    <t>Líder_Imed_117</t>
  </si>
  <si>
    <t>Líder_Imed_118</t>
  </si>
  <si>
    <t>Líder_Imed_119</t>
  </si>
  <si>
    <t>Líder_Imed_120</t>
  </si>
  <si>
    <t>Líder_Imed_121</t>
  </si>
  <si>
    <t>Líder_Imed_122</t>
  </si>
  <si>
    <t>Líder_Imed_123</t>
  </si>
  <si>
    <t>Líder_Imed_124</t>
  </si>
  <si>
    <t>Líder_Imed_125</t>
  </si>
  <si>
    <t>Líder_Imed_126</t>
  </si>
  <si>
    <t>Líder_Imed_127</t>
  </si>
  <si>
    <t>Líder_Imed_128</t>
  </si>
  <si>
    <t>Líder_Imed_129</t>
  </si>
  <si>
    <t>Líder_Imed_130</t>
  </si>
  <si>
    <t>Líder_Imed_131</t>
  </si>
  <si>
    <t>Líder_Imed_132</t>
  </si>
  <si>
    <t>Líder_Imed_133</t>
  </si>
  <si>
    <t>Líder_Imed_134</t>
  </si>
  <si>
    <t>Líder_Imed_135</t>
  </si>
  <si>
    <t>Líder_Imed_136</t>
  </si>
  <si>
    <t>Líder_Imed_137</t>
  </si>
  <si>
    <t>Líder_Imed_138</t>
  </si>
  <si>
    <t>Líder_Imed_139</t>
  </si>
  <si>
    <t>Líder_Imed_140</t>
  </si>
  <si>
    <t>Líder_Imed_141</t>
  </si>
  <si>
    <t>Líder_Imed_142</t>
  </si>
  <si>
    <t>Líder_Imed_143</t>
  </si>
  <si>
    <t>Líder_Imed_144</t>
  </si>
  <si>
    <t>Líder_Imed_145</t>
  </si>
  <si>
    <t>Líder_Imed_146</t>
  </si>
  <si>
    <t>Líder_Imed_147</t>
  </si>
  <si>
    <t>Líder_Imed_148</t>
  </si>
  <si>
    <t>Líder_Imed_149</t>
  </si>
  <si>
    <t>Líder_Imed_150</t>
  </si>
  <si>
    <t>Líder_Imed_151</t>
  </si>
  <si>
    <t>Líder_Imed_152</t>
  </si>
  <si>
    <t>Líder_Imed_153</t>
  </si>
  <si>
    <t>Líder_Imed_154</t>
  </si>
  <si>
    <t>Líder_Imed_155</t>
  </si>
  <si>
    <t>Líder_Imed_156</t>
  </si>
  <si>
    <t>Líder_Imed_157</t>
  </si>
  <si>
    <t>Líder_Imed_158</t>
  </si>
  <si>
    <t>Líder_Imed_159</t>
  </si>
  <si>
    <t>Líder_Imed_160</t>
  </si>
  <si>
    <t>Líder_Imed_161</t>
  </si>
  <si>
    <t>Líder_Imed_162</t>
  </si>
  <si>
    <t>Líder_Imed_163</t>
  </si>
  <si>
    <t>Líder_Imed_164</t>
  </si>
  <si>
    <t>Líder_Imed_165</t>
  </si>
  <si>
    <t>Líder_Imed_166</t>
  </si>
  <si>
    <t>Líder_Imed_167</t>
  </si>
  <si>
    <t>Líder_Imed_168</t>
  </si>
  <si>
    <t>Líder_Imed_169</t>
  </si>
  <si>
    <t>Líder_Imed_170</t>
  </si>
  <si>
    <t>Líder_Imed_171</t>
  </si>
  <si>
    <t>Líder_Imed_172</t>
  </si>
  <si>
    <t>Líder_Imed_173</t>
  </si>
  <si>
    <t>Líder_Imed_174</t>
  </si>
  <si>
    <t>Líder_Imed_175</t>
  </si>
  <si>
    <t>Líder_Imed_176</t>
  </si>
  <si>
    <t>Líder_Imed_177</t>
  </si>
  <si>
    <t>Líder_Imed_178</t>
  </si>
  <si>
    <t>Líder_Imed_179</t>
  </si>
  <si>
    <t>Líder_Imed_180</t>
  </si>
  <si>
    <t>Líder_Imed_181</t>
  </si>
  <si>
    <t>Líder_Imed_182</t>
  </si>
  <si>
    <t>Líder_Imed_183</t>
  </si>
  <si>
    <t>Líder_Imed_184</t>
  </si>
  <si>
    <t>Líder_Imed_185</t>
  </si>
  <si>
    <t>Líder_Imed_186</t>
  </si>
  <si>
    <t>Líder_Imed_187</t>
  </si>
  <si>
    <t>Líder_Imed_188</t>
  </si>
  <si>
    <t>Líder_Imed_189</t>
  </si>
  <si>
    <t>Líder_Imed_190</t>
  </si>
  <si>
    <t>Líder_Imed_191</t>
  </si>
  <si>
    <t>Líder_Imed_192</t>
  </si>
  <si>
    <t>Líder_Imed_193</t>
  </si>
  <si>
    <t>Líder_Imed_194</t>
  </si>
  <si>
    <t>Líder_Imed_195</t>
  </si>
  <si>
    <t>Líder_Imed_196</t>
  </si>
  <si>
    <t>Líder_Imed_197</t>
  </si>
  <si>
    <t>Líder_Imed_198</t>
  </si>
  <si>
    <t>Líder_Imed_199</t>
  </si>
  <si>
    <t>Líder_Imed_200</t>
  </si>
  <si>
    <t>Líder_Imed_201</t>
  </si>
  <si>
    <t>Líder_Imed_202</t>
  </si>
  <si>
    <t>Líder_Imed_203</t>
  </si>
  <si>
    <t>Líder_Imed_204</t>
  </si>
  <si>
    <t>Líder_Imed_205</t>
  </si>
  <si>
    <t>Líder_Imed_206</t>
  </si>
  <si>
    <t>Líder_Imed_207</t>
  </si>
  <si>
    <t>Líder_Imed_208</t>
  </si>
  <si>
    <t>Líder_Imed_209</t>
  </si>
  <si>
    <t>Líder_Imed_210</t>
  </si>
  <si>
    <t>Líder_Imed_211</t>
  </si>
  <si>
    <t>Líder_Imed_212</t>
  </si>
  <si>
    <t>Líder_Imed_213</t>
  </si>
  <si>
    <t>Líder_Imed_214</t>
  </si>
  <si>
    <t>Líder_Imed_215</t>
  </si>
  <si>
    <t>Líder_Imed_216</t>
  </si>
  <si>
    <t>Líder_Imed_217</t>
  </si>
  <si>
    <t>Líder_Imed_218</t>
  </si>
  <si>
    <t>Líder_Imed_219</t>
  </si>
  <si>
    <t>Líder_Imed_220</t>
  </si>
  <si>
    <t>Líder_Imed_221</t>
  </si>
  <si>
    <t>Líder_Imed_222</t>
  </si>
  <si>
    <t>Líder_Imed_223</t>
  </si>
  <si>
    <t>Líder_Imed_224</t>
  </si>
  <si>
    <t>Líder_Imed_225</t>
  </si>
  <si>
    <t>Líder_Imed_226</t>
  </si>
  <si>
    <t>Líder_Imed_227</t>
  </si>
  <si>
    <t>Líder_Imed_228</t>
  </si>
  <si>
    <t>Líder_Imed_229</t>
  </si>
  <si>
    <t>Líder_Imed_230</t>
  </si>
  <si>
    <t>Líder_Imed_231</t>
  </si>
  <si>
    <t>Líder_Imed_232</t>
  </si>
  <si>
    <t>Líder_Imed_233</t>
  </si>
  <si>
    <t>Líder_Imed_234</t>
  </si>
  <si>
    <t>Líder_Imed_235</t>
  </si>
  <si>
    <t>Líder_Imed_236</t>
  </si>
  <si>
    <t>Líder_Imed_237</t>
  </si>
  <si>
    <t>Líder_Imed_238</t>
  </si>
  <si>
    <t>Líder_Imed_239</t>
  </si>
  <si>
    <t>Líder_Imed_240</t>
  </si>
  <si>
    <t>Líder_Imed_241</t>
  </si>
  <si>
    <t>Líder_Imed_242</t>
  </si>
  <si>
    <t>Líder_Imed_243</t>
  </si>
  <si>
    <t>Líder_Imed_244</t>
  </si>
  <si>
    <t>Líder_Imed_245</t>
  </si>
  <si>
    <t>Líder_Imed_246</t>
  </si>
  <si>
    <t>Líder_Imed_247</t>
  </si>
  <si>
    <t>Líder_Imed_248</t>
  </si>
  <si>
    <t>Líder_Imed_249</t>
  </si>
  <si>
    <t>Líder_Imed_250</t>
  </si>
  <si>
    <t>Líder_Imed_251</t>
  </si>
  <si>
    <t>Líder_Imed_252</t>
  </si>
  <si>
    <t>Líder_Imed_253</t>
  </si>
  <si>
    <t>Líder_Imed_254</t>
  </si>
  <si>
    <t>Líder_Imed_255</t>
  </si>
  <si>
    <t>Líder_Imed_256</t>
  </si>
  <si>
    <t>Líder_Imed_257</t>
  </si>
  <si>
    <t>Líder_Imed_258</t>
  </si>
  <si>
    <t>Líder_Imed_259</t>
  </si>
  <si>
    <t>Líder_Imed_260</t>
  </si>
  <si>
    <t>Líder_Imed_261</t>
  </si>
  <si>
    <t>Líder_Imed_262</t>
  </si>
  <si>
    <t>Líder_Imed_263</t>
  </si>
  <si>
    <t>Líder_Imed_264</t>
  </si>
  <si>
    <t>Líder_Imed_265</t>
  </si>
  <si>
    <t>Líder_Imed_266</t>
  </si>
  <si>
    <t>Líder_Imed_267</t>
  </si>
  <si>
    <t>Líder_Imed_268</t>
  </si>
  <si>
    <t>Líder_Imed_269</t>
  </si>
  <si>
    <t>Líder_Imed_270</t>
  </si>
  <si>
    <t>Líder_Imed_271</t>
  </si>
  <si>
    <t>Líder_Imed_272</t>
  </si>
  <si>
    <t>Líder_Imed_273</t>
  </si>
  <si>
    <t>Líder_Imed_274</t>
  </si>
  <si>
    <t>Líder_Imed_275</t>
  </si>
  <si>
    <t>Líder_Imed_276</t>
  </si>
  <si>
    <t>Líder_Imed_277</t>
  </si>
  <si>
    <t>Líder_Imed_278</t>
  </si>
  <si>
    <t>Líder_Imed_279</t>
  </si>
  <si>
    <t>Líder_Imed_280</t>
  </si>
  <si>
    <t>Líder_Imed_281</t>
  </si>
  <si>
    <t>Líder_Imed_282</t>
  </si>
  <si>
    <t>Líder_Imed_283</t>
  </si>
  <si>
    <t>Líder_Imed_284</t>
  </si>
  <si>
    <t>Líder_Imed_285</t>
  </si>
  <si>
    <t>Líder_Imed_286</t>
  </si>
  <si>
    <t>Líder_Imed_287</t>
  </si>
  <si>
    <t>Líder_Imed_288</t>
  </si>
  <si>
    <t>Líder_Imed_289</t>
  </si>
  <si>
    <t>Líder_Imed_290</t>
  </si>
  <si>
    <t>Líder_Imed_291</t>
  </si>
  <si>
    <t>Líder_Imed_292</t>
  </si>
  <si>
    <t>Líder_Imed_293</t>
  </si>
  <si>
    <t>Líder_Imed_294</t>
  </si>
  <si>
    <t>Líder_Imed_295</t>
  </si>
  <si>
    <t>Líder_Imed_296</t>
  </si>
  <si>
    <t>Líder_Imed_297</t>
  </si>
  <si>
    <t>Líder_Imed_298</t>
  </si>
  <si>
    <t>Líder_Imed_299</t>
  </si>
  <si>
    <t>Líder_Imed_300</t>
  </si>
  <si>
    <t>Líder_Imed_301</t>
  </si>
  <si>
    <t>Líder_Imed_302</t>
  </si>
  <si>
    <t>Líder_Imed_303</t>
  </si>
  <si>
    <t>Líder_Imed_304</t>
  </si>
  <si>
    <t>Líder_Imed_305</t>
  </si>
  <si>
    <t>Líder_Imed_306</t>
  </si>
  <si>
    <t>Líder_Imed_307</t>
  </si>
  <si>
    <t>Líder_Imed_308</t>
  </si>
  <si>
    <t>Líder_Imed_309</t>
  </si>
  <si>
    <t>Líder_Imed_310</t>
  </si>
  <si>
    <t>Líder_Imed_311</t>
  </si>
  <si>
    <t>Líder_Imed_312</t>
  </si>
  <si>
    <t>Líder_Imed_313</t>
  </si>
  <si>
    <t>Líder_Imed_314</t>
  </si>
  <si>
    <t>Líder_Imed_315</t>
  </si>
  <si>
    <t>Líder_Imed_316</t>
  </si>
  <si>
    <t>Líder_Imed_317</t>
  </si>
  <si>
    <t>Líder_Imed_318</t>
  </si>
  <si>
    <t>Líder_Imed_319</t>
  </si>
  <si>
    <t>Líder_Imed_320</t>
  </si>
  <si>
    <t>Líder_Imed_321</t>
  </si>
  <si>
    <t>Líder_Imed_322</t>
  </si>
  <si>
    <t>Líder_Imed_323</t>
  </si>
  <si>
    <t>Líder_Imed_324</t>
  </si>
  <si>
    <t>Líder_Imed_325</t>
  </si>
  <si>
    <t>Líder_Imed_326</t>
  </si>
  <si>
    <t>Líder_Imed_327</t>
  </si>
  <si>
    <t>Líder_Imed_328</t>
  </si>
  <si>
    <t>Líder_Imed_329</t>
  </si>
  <si>
    <t>Líder_Imed_330</t>
  </si>
  <si>
    <t>Líder_Imed_331</t>
  </si>
  <si>
    <t>Líder_Imed_332</t>
  </si>
  <si>
    <t>Líder_Imed_333</t>
  </si>
  <si>
    <t>Líder_Imed_334</t>
  </si>
  <si>
    <t>Líder_Imed_335</t>
  </si>
  <si>
    <t>Líder_Imed_336</t>
  </si>
  <si>
    <t>Líder_Imed_337</t>
  </si>
  <si>
    <t>Líder_Imed_338</t>
  </si>
  <si>
    <t>Líder_Imed_339</t>
  </si>
  <si>
    <t>Líder_Imed_340</t>
  </si>
  <si>
    <t>Líder_Imed_341</t>
  </si>
  <si>
    <t>Líder_Imed_342</t>
  </si>
  <si>
    <t>Líder_Imed_343</t>
  </si>
  <si>
    <t>Líder_Imed_344</t>
  </si>
  <si>
    <t>Líder_Imed_345</t>
  </si>
  <si>
    <t>Líder_Imed_346</t>
  </si>
  <si>
    <t>Líder_Imed_347</t>
  </si>
  <si>
    <t>Líder_Imed_348</t>
  </si>
  <si>
    <t>Líder_Imed_349</t>
  </si>
  <si>
    <t>Líder_Imed_350</t>
  </si>
  <si>
    <t>Líder_Imed_351</t>
  </si>
  <si>
    <t>Líder_Imed_352</t>
  </si>
  <si>
    <t>Líder_Imed_353</t>
  </si>
  <si>
    <t>Líder_Imed_354</t>
  </si>
  <si>
    <t>Líder_Imed_355</t>
  </si>
  <si>
    <t>Líder_Imed_356</t>
  </si>
  <si>
    <t>Líder_Imed_357</t>
  </si>
  <si>
    <t>Líder_Imed_358</t>
  </si>
  <si>
    <t>Líder_Imed_359</t>
  </si>
  <si>
    <t>Líder_Imed_360</t>
  </si>
  <si>
    <t>Líder_Imed_361</t>
  </si>
  <si>
    <t>Líder_Imed_362</t>
  </si>
  <si>
    <t>Líder_Imed_363</t>
  </si>
  <si>
    <t>Líder_Imed_364</t>
  </si>
  <si>
    <t>Líder_Imed_365</t>
  </si>
  <si>
    <t>Líder_Imed_366</t>
  </si>
  <si>
    <t>Líder_Imed_367</t>
  </si>
  <si>
    <t>Líder_Imed_368</t>
  </si>
  <si>
    <t>Líder_Imed_369</t>
  </si>
  <si>
    <t>Líder_Imed_370</t>
  </si>
  <si>
    <t>Líder_Imed_371</t>
  </si>
  <si>
    <t>Líder_Imed_372</t>
  </si>
  <si>
    <t>Líder_Imed_373</t>
  </si>
  <si>
    <t>Líder_Imed_374</t>
  </si>
  <si>
    <t>Líder_Imed_375</t>
  </si>
  <si>
    <t>Líder_Imed_376</t>
  </si>
  <si>
    <t>Líder_Imed_377</t>
  </si>
  <si>
    <t>Líder_Imed_378</t>
  </si>
  <si>
    <t>Líder_Imed_379</t>
  </si>
  <si>
    <t>Líder_Imed_380</t>
  </si>
  <si>
    <t>Líder_Imed_381</t>
  </si>
  <si>
    <t>Líder_Imed_382</t>
  </si>
  <si>
    <t>Líder_Imed_383</t>
  </si>
  <si>
    <t>Líder_Imed_384</t>
  </si>
  <si>
    <t>Líder_Imed_385</t>
  </si>
  <si>
    <t>Líder_Imed_386</t>
  </si>
  <si>
    <t>Líder_Imed_387</t>
  </si>
  <si>
    <t>Líder_Imed_388</t>
  </si>
  <si>
    <t>Líder_Imed_389</t>
  </si>
  <si>
    <t>Líder_Imed_390</t>
  </si>
  <si>
    <t>Líder_Imed_391</t>
  </si>
  <si>
    <t>Líder_Imed_392</t>
  </si>
  <si>
    <t>Líder_Imed_393</t>
  </si>
  <si>
    <t>Líder_Imed_394</t>
  </si>
  <si>
    <t>Líder_Imed_395</t>
  </si>
  <si>
    <t>Líder_Imed_396</t>
  </si>
  <si>
    <t>Líder_Imed_397</t>
  </si>
  <si>
    <t>Líder_Imed_398</t>
  </si>
  <si>
    <t>Líder_Imed_399</t>
  </si>
  <si>
    <t>Líder_Imed_400</t>
  </si>
  <si>
    <t>Líder_Imed_401</t>
  </si>
  <si>
    <t>Líder_Imed_402</t>
  </si>
  <si>
    <t>Líder_Imed_403</t>
  </si>
  <si>
    <t>Líder_Imed_404</t>
  </si>
  <si>
    <t>Líder_Imed_405</t>
  </si>
  <si>
    <t>Líder_Imed_406</t>
  </si>
  <si>
    <t>Líder_Imed_407</t>
  </si>
  <si>
    <t>Líder_Imed_408</t>
  </si>
  <si>
    <t>Líder_Imed_409</t>
  </si>
  <si>
    <t>Líder_Imed_410</t>
  </si>
  <si>
    <t>Líder_Imed_411</t>
  </si>
  <si>
    <t>Líder_Imed_412</t>
  </si>
  <si>
    <t>Líder_Imed_413</t>
  </si>
  <si>
    <t>Líder_Imed_414</t>
  </si>
  <si>
    <t>Líder_Imed_415</t>
  </si>
  <si>
    <t>Líder_Imed_416</t>
  </si>
  <si>
    <t>Líder_Imed_417</t>
  </si>
  <si>
    <t>Líder_Imed_418</t>
  </si>
  <si>
    <t>Líder_Imed_419</t>
  </si>
  <si>
    <t>Líder_Imed_420</t>
  </si>
  <si>
    <t>Líder_Imed_421</t>
  </si>
  <si>
    <t>Líder_Imed_422</t>
  </si>
  <si>
    <t>Líder_Imed_423</t>
  </si>
  <si>
    <t>Líder_Imed_424</t>
  </si>
  <si>
    <t>Líder_Imed_425</t>
  </si>
  <si>
    <t>Líder_Imed_426</t>
  </si>
  <si>
    <t>Líder_Imed_427</t>
  </si>
  <si>
    <t>Líder_Imed_428</t>
  </si>
  <si>
    <t>Líder_Imed_429</t>
  </si>
  <si>
    <t>Líder_Imed_430</t>
  </si>
  <si>
    <t>Líder_Imed_431</t>
  </si>
  <si>
    <t>Líder_Imed_432</t>
  </si>
  <si>
    <t>Líder_Imed_433</t>
  </si>
  <si>
    <t>Líder_Imed_434</t>
  </si>
  <si>
    <t>Líder_Imed_435</t>
  </si>
  <si>
    <t>Líder_Imed_436</t>
  </si>
  <si>
    <t>Líder_Imed_437</t>
  </si>
  <si>
    <t>Líder_Imed_438</t>
  </si>
  <si>
    <t>Líder_Imed_439</t>
  </si>
  <si>
    <t>Líder_Imed_440</t>
  </si>
  <si>
    <t>Líder_Imed_441</t>
  </si>
  <si>
    <t>Líder_Imed_442</t>
  </si>
  <si>
    <t>Líder_Imed_443</t>
  </si>
  <si>
    <t>Líder_Imed_444</t>
  </si>
  <si>
    <t>Líder_Imed_445</t>
  </si>
  <si>
    <t>Líder_Imed_446</t>
  </si>
  <si>
    <t>Líder_Imed_447</t>
  </si>
  <si>
    <t>Líder_Imed_448</t>
  </si>
  <si>
    <t>Líder_Imed_449</t>
  </si>
  <si>
    <t>Líder_Imed_450</t>
  </si>
  <si>
    <t>Líder_Imed_451</t>
  </si>
  <si>
    <t>Líder_Imed_452</t>
  </si>
  <si>
    <t>Líder_Imed_453</t>
  </si>
  <si>
    <t>Líder_Imed_454</t>
  </si>
  <si>
    <t>Líder_Imed_455</t>
  </si>
  <si>
    <t>Líder_Imed_456</t>
  </si>
  <si>
    <t>Líder_Imed_457</t>
  </si>
  <si>
    <t>Líder_Imed_458</t>
  </si>
  <si>
    <t>Líder_Imed_459</t>
  </si>
  <si>
    <t>Líder_Imed_460</t>
  </si>
  <si>
    <t>Líder_Imed_461</t>
  </si>
  <si>
    <t>Líder_Imed_462</t>
  </si>
  <si>
    <t>Líder_Imed_463</t>
  </si>
  <si>
    <t>Líder_Imed_464</t>
  </si>
  <si>
    <t>Líder_Imed_465</t>
  </si>
  <si>
    <t>Líder_Imed_466</t>
  </si>
  <si>
    <t>Líder_Imed_467</t>
  </si>
  <si>
    <t>Líder_Imed_468</t>
  </si>
  <si>
    <t>Líder_Imed_469</t>
  </si>
  <si>
    <t>Líder_Imed_470</t>
  </si>
  <si>
    <t>Líder_Imed_471</t>
  </si>
  <si>
    <t>Líder_Imed_472</t>
  </si>
  <si>
    <t>Líder_Imed_473</t>
  </si>
  <si>
    <t>Líder_Imed_474</t>
  </si>
  <si>
    <t>Líder_Imed_475</t>
  </si>
  <si>
    <t>Líder_Imed_476</t>
  </si>
  <si>
    <t>Líder_Imed_477</t>
  </si>
  <si>
    <t>Líder_Imed_478</t>
  </si>
  <si>
    <t>Líder_Imed_479</t>
  </si>
  <si>
    <t>Líder_Imed_480</t>
  </si>
  <si>
    <t>Líder_Imed_481</t>
  </si>
  <si>
    <t>Líder_Imed_482</t>
  </si>
  <si>
    <t>Líder_Imed_483</t>
  </si>
  <si>
    <t>Líder_Imed_484</t>
  </si>
  <si>
    <t>Líder_Imed_485</t>
  </si>
  <si>
    <t>Líder_Imed_486</t>
  </si>
  <si>
    <t>Líder_Imed_487</t>
  </si>
  <si>
    <t>Líder_Imed_488</t>
  </si>
  <si>
    <t>Líder_Imed_489</t>
  </si>
  <si>
    <t>Líder_Imed_490</t>
  </si>
  <si>
    <t>Líder_Imed_491</t>
  </si>
  <si>
    <t>Líder_Imed_492</t>
  </si>
  <si>
    <t>Líder_Imed_493</t>
  </si>
  <si>
    <t>Líder_Imed_494</t>
  </si>
  <si>
    <t>Líder_Imed_495</t>
  </si>
  <si>
    <t>Líder_Imed_496</t>
  </si>
  <si>
    <t>Líder_Imed_497</t>
  </si>
  <si>
    <t>Líder_Imed_498</t>
  </si>
  <si>
    <t>Líder_Imed_499</t>
  </si>
  <si>
    <t>Líder_Imed_500</t>
  </si>
  <si>
    <t>Líder_Imed_501</t>
  </si>
  <si>
    <t>Líder_Imed_502</t>
  </si>
  <si>
    <t>Líder_Imed_503</t>
  </si>
  <si>
    <t>Líder_Imed_504</t>
  </si>
  <si>
    <t>Líder_Imed_505</t>
  </si>
  <si>
    <t>Líder_Imed_506</t>
  </si>
  <si>
    <t>Líder_Imed_507</t>
  </si>
  <si>
    <t>Líder_Imed_508</t>
  </si>
  <si>
    <t>Líder_Imed_509</t>
  </si>
  <si>
    <t>Líder_Imed_510</t>
  </si>
  <si>
    <t>Líder_Imed_511</t>
  </si>
  <si>
    <t>Líder_Imed_512</t>
  </si>
  <si>
    <t>Líder_Imed_513</t>
  </si>
  <si>
    <t>Líder_Imed_514</t>
  </si>
  <si>
    <t>Líder_Imed_515</t>
  </si>
  <si>
    <t>Líder_Imed_516</t>
  </si>
  <si>
    <t>Líder_Imed_517</t>
  </si>
  <si>
    <t>Líder_Imed_518</t>
  </si>
  <si>
    <t>Líder_Imed_519</t>
  </si>
  <si>
    <t>Líder_Imed_520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</si>
</sst>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4" fillId="3" borderId="0" xfId="2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4" fillId="4" borderId="0" xfId="2" applyFont="1" applyFill="1"/>
    <xf numFmtId="0" fontId="0" fillId="0" borderId="0" xfId="0" applyAlignment="1">
      <alignment horizontal="left"/>
    </xf>
    <xf numFmtId="0" fontId="0" fillId="5" borderId="0" xfId="0" applyFill="1"/>
    <xf numFmtId="0" fontId="0" fillId="0" borderId="0" xfId="0" pivotButton="1"/>
    <xf numFmtId="0" fontId="5" fillId="4" borderId="0" xfId="0" applyFont="1" applyFill="1" applyAlignment="1">
      <alignment horizontal="left" vertical="center"/>
    </xf>
    <xf numFmtId="9" fontId="0" fillId="0" borderId="0" xfId="1" applyFont="1" applyAlignment="1">
      <alignment horizontal="center"/>
    </xf>
    <xf numFmtId="9" fontId="0" fillId="2" borderId="0" xfId="1" applyFont="1" applyFill="1"/>
    <xf numFmtId="9" fontId="0" fillId="3" borderId="0" xfId="1" applyFont="1" applyFill="1"/>
    <xf numFmtId="0" fontId="0" fillId="4" borderId="0" xfId="0" applyFill="1" applyAlignment="1">
      <alignment horizontal="center"/>
    </xf>
    <xf numFmtId="0" fontId="6" fillId="4" borderId="0" xfId="0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9" fontId="3" fillId="0" borderId="0" xfId="1" applyFont="1" applyAlignment="1">
      <alignment horizontal="center" vertical="center"/>
    </xf>
    <xf numFmtId="9" fontId="0" fillId="0" borderId="0" xfId="1" applyFont="1"/>
    <xf numFmtId="0" fontId="0" fillId="3" borderId="0" xfId="2" applyFont="1" applyFill="1"/>
    <xf numFmtId="0" fontId="6" fillId="0" borderId="0" xfId="0" applyFont="1" applyAlignment="1">
      <alignment horizontal="center"/>
    </xf>
    <xf numFmtId="9" fontId="6" fillId="0" borderId="0" xfId="1" applyFont="1" applyAlignment="1">
      <alignment horizontal="center"/>
    </xf>
    <xf numFmtId="0" fontId="6" fillId="0" borderId="0" xfId="0" applyFont="1"/>
    <xf numFmtId="0" fontId="6" fillId="4" borderId="0" xfId="0" applyFont="1" applyFill="1" applyAlignment="1">
      <alignment horizontal="center"/>
    </xf>
    <xf numFmtId="9" fontId="0" fillId="0" borderId="0" xfId="0" applyNumberFormat="1"/>
    <xf numFmtId="9" fontId="6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NumberFormat="1"/>
    <xf numFmtId="9" fontId="0" fillId="0" borderId="0" xfId="1" applyNumberFormat="1" applyFont="1" applyAlignment="1">
      <alignment horizontal="center"/>
    </xf>
    <xf numFmtId="9" fontId="6" fillId="0" borderId="0" xfId="1" applyNumberFormat="1" applyFont="1" applyAlignment="1">
      <alignment horizontal="center"/>
    </xf>
  </cellXfs>
  <cellStyles count="3">
    <cellStyle name="Hiperlink" xfId="2" builtinId="8"/>
    <cellStyle name="Normal" xfId="0" builtinId="0"/>
    <cellStyle name="Porcentagem" xfId="1" builtinId="5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1.xml"/><Relationship Id="rId15" Type="http://schemas.microsoft.com/office/2017/10/relationships/person" Target="persons/person.xml"/><Relationship Id="rId10" Type="http://schemas.microsoft.com/office/2007/relationships/slicerCache" Target="slicerCaches/slicerCache4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elatorio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hyperlink" Target="#An&#225;lise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Relatorio!A1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9</xdr:row>
      <xdr:rowOff>47625</xdr:rowOff>
    </xdr:from>
    <xdr:to>
      <xdr:col>4</xdr:col>
      <xdr:colOff>621250</xdr:colOff>
      <xdr:row>12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7A71E0-2F47-4C7E-9C0A-089D6D9F8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847850"/>
          <a:ext cx="2945350" cy="619125"/>
        </a:xfrm>
        <a:prstGeom prst="rect">
          <a:avLst/>
        </a:prstGeom>
      </xdr:spPr>
    </xdr:pic>
    <xdr:clientData/>
  </xdr:twoCellAnchor>
  <xdr:twoCellAnchor editAs="oneCell">
    <xdr:from>
      <xdr:col>15</xdr:col>
      <xdr:colOff>504825</xdr:colOff>
      <xdr:row>21</xdr:row>
      <xdr:rowOff>69982</xdr:rowOff>
    </xdr:from>
    <xdr:to>
      <xdr:col>18</xdr:col>
      <xdr:colOff>219075</xdr:colOff>
      <xdr:row>23</xdr:row>
      <xdr:rowOff>149019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7B41D52-8641-4A62-9D94-5230E14E4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1825" y="4270507"/>
          <a:ext cx="1771650" cy="479087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2</xdr:row>
      <xdr:rowOff>66675</xdr:rowOff>
    </xdr:from>
    <xdr:to>
      <xdr:col>6</xdr:col>
      <xdr:colOff>476251</xdr:colOff>
      <xdr:row>10</xdr:row>
      <xdr:rowOff>66675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A389CB1-0AE9-4023-A5A3-876F09B30523}"/>
            </a:ext>
          </a:extLst>
        </xdr:cNvPr>
        <xdr:cNvSpPr txBox="1"/>
      </xdr:nvSpPr>
      <xdr:spPr>
        <a:xfrm>
          <a:off x="85725" y="466725"/>
          <a:ext cx="4505326" cy="160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1">
              <a:solidFill>
                <a:schemeClr val="bg1"/>
              </a:solidFill>
              <a:latin typeface="Abadi" panose="020B0604020104020204" pitchFamily="34" charset="0"/>
            </a:rPr>
            <a:t>RELATÓRIO DE </a:t>
          </a:r>
        </a:p>
        <a:p>
          <a:r>
            <a:rPr lang="pt-BR" sz="3600" b="1">
              <a:solidFill>
                <a:schemeClr val="bg1"/>
              </a:solidFill>
              <a:latin typeface="Abadi" panose="020B0604020104020204" pitchFamily="34" charset="0"/>
            </a:rPr>
            <a:t>ACOMPANHAMENTO</a:t>
          </a:r>
          <a:r>
            <a:rPr lang="pt-BR" sz="3600" b="1" baseline="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7</xdr:col>
      <xdr:colOff>533400</xdr:colOff>
      <xdr:row>3</xdr:row>
      <xdr:rowOff>66675</xdr:rowOff>
    </xdr:from>
    <xdr:to>
      <xdr:col>12</xdr:col>
      <xdr:colOff>561975</xdr:colOff>
      <xdr:row>22</xdr:row>
      <xdr:rowOff>142875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2A8C45A7-260B-4FA8-9FE1-2D0D3171AEE3}"/>
            </a:ext>
          </a:extLst>
        </xdr:cNvPr>
        <xdr:cNvSpPr/>
      </xdr:nvSpPr>
      <xdr:spPr>
        <a:xfrm>
          <a:off x="5334000" y="666750"/>
          <a:ext cx="3457575" cy="3876675"/>
        </a:xfrm>
        <a:prstGeom prst="roundRect">
          <a:avLst/>
        </a:prstGeom>
        <a:solidFill>
          <a:schemeClr val="accent4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238126</xdr:colOff>
      <xdr:row>11</xdr:row>
      <xdr:rowOff>95249</xdr:rowOff>
    </xdr:from>
    <xdr:to>
      <xdr:col>12</xdr:col>
      <xdr:colOff>381000</xdr:colOff>
      <xdr:row>13</xdr:row>
      <xdr:rowOff>85725</xdr:rowOff>
    </xdr:to>
    <xdr:sp macro="" textlink="">
      <xdr:nvSpPr>
        <xdr:cNvPr id="6" name="CaixaDeText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A13DB6-883E-4DEA-9B07-9DB0E048D724}"/>
            </a:ext>
          </a:extLst>
        </xdr:cNvPr>
        <xdr:cNvSpPr txBox="1"/>
      </xdr:nvSpPr>
      <xdr:spPr>
        <a:xfrm>
          <a:off x="5724526" y="2295524"/>
          <a:ext cx="2886074" cy="390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 baseline="0">
              <a:solidFill>
                <a:schemeClr val="bg1"/>
              </a:solidFill>
              <a:latin typeface="Abadi" panose="020B0604020104020204" pitchFamily="34" charset="0"/>
            </a:rPr>
            <a:t>Relatório por colaborador</a:t>
          </a:r>
        </a:p>
      </xdr:txBody>
    </xdr:sp>
    <xdr:clientData/>
  </xdr:twoCellAnchor>
  <xdr:twoCellAnchor>
    <xdr:from>
      <xdr:col>8</xdr:col>
      <xdr:colOff>0</xdr:colOff>
      <xdr:row>9</xdr:row>
      <xdr:rowOff>47625</xdr:rowOff>
    </xdr:from>
    <xdr:to>
      <xdr:col>8</xdr:col>
      <xdr:colOff>257175</xdr:colOff>
      <xdr:row>10</xdr:row>
      <xdr:rowOff>95250</xdr:rowOff>
    </xdr:to>
    <xdr:sp macro="" textlink="">
      <xdr:nvSpPr>
        <xdr:cNvPr id="7" name="Losango 6">
          <a:extLst>
            <a:ext uri="{FF2B5EF4-FFF2-40B4-BE49-F238E27FC236}">
              <a16:creationId xmlns:a16="http://schemas.microsoft.com/office/drawing/2014/main" id="{90970739-8250-4237-95A4-889E4E89CA5A}"/>
            </a:ext>
          </a:extLst>
        </xdr:cNvPr>
        <xdr:cNvSpPr/>
      </xdr:nvSpPr>
      <xdr:spPr>
        <a:xfrm>
          <a:off x="5486400" y="1847850"/>
          <a:ext cx="257175" cy="247650"/>
        </a:xfrm>
        <a:prstGeom prst="diamond">
          <a:avLst/>
        </a:prstGeom>
        <a:solidFill>
          <a:srgbClr val="FFC000"/>
        </a:soli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228601</xdr:colOff>
      <xdr:row>8</xdr:row>
      <xdr:rowOff>200024</xdr:rowOff>
    </xdr:from>
    <xdr:to>
      <xdr:col>12</xdr:col>
      <xdr:colOff>371475</xdr:colOff>
      <xdr:row>10</xdr:row>
      <xdr:rowOff>190500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C9ECAD-302D-432C-B480-62E75C25A2E6}"/>
            </a:ext>
          </a:extLst>
        </xdr:cNvPr>
        <xdr:cNvSpPr txBox="1"/>
      </xdr:nvSpPr>
      <xdr:spPr>
        <a:xfrm>
          <a:off x="5715001" y="1800224"/>
          <a:ext cx="2886074" cy="390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 baseline="0">
              <a:solidFill>
                <a:schemeClr val="bg1"/>
              </a:solidFill>
              <a:latin typeface="Abadi" panose="020B0604020104020204" pitchFamily="34" charset="0"/>
            </a:rPr>
            <a:t>Análise por Gerência Corp.</a:t>
          </a:r>
        </a:p>
      </xdr:txBody>
    </xdr:sp>
    <xdr:clientData/>
  </xdr:twoCellAnchor>
  <xdr:twoCellAnchor>
    <xdr:from>
      <xdr:col>8</xdr:col>
      <xdr:colOff>9525</xdr:colOff>
      <xdr:row>11</xdr:row>
      <xdr:rowOff>142875</xdr:rowOff>
    </xdr:from>
    <xdr:to>
      <xdr:col>8</xdr:col>
      <xdr:colOff>266700</xdr:colOff>
      <xdr:row>12</xdr:row>
      <xdr:rowOff>190500</xdr:rowOff>
    </xdr:to>
    <xdr:sp macro="" textlink="">
      <xdr:nvSpPr>
        <xdr:cNvPr id="9" name="Losango 8">
          <a:extLst>
            <a:ext uri="{FF2B5EF4-FFF2-40B4-BE49-F238E27FC236}">
              <a16:creationId xmlns:a16="http://schemas.microsoft.com/office/drawing/2014/main" id="{F959B085-0B31-400B-B13B-07947536D3B8}"/>
            </a:ext>
          </a:extLst>
        </xdr:cNvPr>
        <xdr:cNvSpPr/>
      </xdr:nvSpPr>
      <xdr:spPr>
        <a:xfrm>
          <a:off x="5495925" y="2343150"/>
          <a:ext cx="257175" cy="247650"/>
        </a:xfrm>
        <a:prstGeom prst="diamond">
          <a:avLst/>
        </a:prstGeom>
        <a:solidFill>
          <a:srgbClr val="FFC000"/>
        </a:soli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514350</xdr:colOff>
      <xdr:row>4</xdr:row>
      <xdr:rowOff>66674</xdr:rowOff>
    </xdr:from>
    <xdr:to>
      <xdr:col>11</xdr:col>
      <xdr:colOff>495300</xdr:colOff>
      <xdr:row>7</xdr:row>
      <xdr:rowOff>19050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BF567ECF-0123-4670-B8D1-0DFD89B3A645}"/>
            </a:ext>
          </a:extLst>
        </xdr:cNvPr>
        <xdr:cNvSpPr txBox="1"/>
      </xdr:nvSpPr>
      <xdr:spPr>
        <a:xfrm>
          <a:off x="6000750" y="866774"/>
          <a:ext cx="2038350" cy="552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3600" b="1" u="sng">
              <a:solidFill>
                <a:srgbClr val="FFC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badi" panose="020B0604020104020204" pitchFamily="34" charset="0"/>
            </a:rPr>
            <a:t>ÍNDICE</a:t>
          </a:r>
          <a:endParaRPr lang="pt-BR" sz="3600" b="1" u="sng" baseline="0">
            <a:solidFill>
              <a:srgbClr val="FFC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badi" panose="020B0604020104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523882</xdr:colOff>
      <xdr:row>0</xdr:row>
      <xdr:rowOff>135731</xdr:rowOff>
    </xdr:from>
    <xdr:to>
      <xdr:col>11</xdr:col>
      <xdr:colOff>69064</xdr:colOff>
      <xdr:row>4</xdr:row>
      <xdr:rowOff>107156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BF054B8-02D1-4851-B360-AD45A8476F16}"/>
            </a:ext>
          </a:extLst>
        </xdr:cNvPr>
        <xdr:cNvSpPr/>
      </xdr:nvSpPr>
      <xdr:spPr>
        <a:xfrm flipH="1">
          <a:off x="11215695" y="135731"/>
          <a:ext cx="1438275" cy="673894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0</xdr:col>
      <xdr:colOff>2163233</xdr:colOff>
      <xdr:row>0</xdr:row>
      <xdr:rowOff>168275</xdr:rowOff>
    </xdr:from>
    <xdr:to>
      <xdr:col>1</xdr:col>
      <xdr:colOff>1195916</xdr:colOff>
      <xdr:row>2</xdr:row>
      <xdr:rowOff>142080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49F881-65D9-4F01-AAA4-C22FF995C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3233" y="168275"/>
          <a:ext cx="1785408" cy="373855"/>
        </a:xfrm>
        <a:prstGeom prst="rect">
          <a:avLst/>
        </a:prstGeom>
      </xdr:spPr>
    </xdr:pic>
    <xdr:clientData/>
  </xdr:twoCellAnchor>
  <xdr:twoCellAnchor editAs="oneCell">
    <xdr:from>
      <xdr:col>0</xdr:col>
      <xdr:colOff>125474</xdr:colOff>
      <xdr:row>0</xdr:row>
      <xdr:rowOff>104777</xdr:rowOff>
    </xdr:from>
    <xdr:to>
      <xdr:col>0</xdr:col>
      <xdr:colOff>1883833</xdr:colOff>
      <xdr:row>2</xdr:row>
      <xdr:rowOff>180978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03E4B77-CCC1-42AD-ADC6-53E7CA54D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74" y="104777"/>
          <a:ext cx="1758359" cy="476251"/>
        </a:xfrm>
        <a:prstGeom prst="rect">
          <a:avLst/>
        </a:prstGeom>
      </xdr:spPr>
    </xdr:pic>
    <xdr:clientData/>
  </xdr:twoCellAnchor>
  <xdr:twoCellAnchor>
    <xdr:from>
      <xdr:col>0</xdr:col>
      <xdr:colOff>1478492</xdr:colOff>
      <xdr:row>4</xdr:row>
      <xdr:rowOff>20109</xdr:rowOff>
    </xdr:from>
    <xdr:to>
      <xdr:col>1</xdr:col>
      <xdr:colOff>268817</xdr:colOff>
      <xdr:row>5</xdr:row>
      <xdr:rowOff>182033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1830C9D-2657-4A58-A666-1375DB705EB6}"/>
            </a:ext>
          </a:extLst>
        </xdr:cNvPr>
        <xdr:cNvSpPr/>
      </xdr:nvSpPr>
      <xdr:spPr>
        <a:xfrm>
          <a:off x="1478492" y="715434"/>
          <a:ext cx="1543050" cy="352424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chemeClr val="bg1"/>
              </a:solidFill>
            </a:rPr>
            <a:t>Análise</a:t>
          </a:r>
          <a:r>
            <a:rPr lang="pt-BR" sz="1400" b="1" baseline="0">
              <a:solidFill>
                <a:schemeClr val="bg1"/>
              </a:solidFill>
            </a:rPr>
            <a:t> Dinâmica</a:t>
          </a:r>
        </a:p>
        <a:p>
          <a:pPr algn="ctr"/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2316427</xdr:colOff>
      <xdr:row>8</xdr:row>
      <xdr:rowOff>56092</xdr:rowOff>
    </xdr:from>
    <xdr:to>
      <xdr:col>28</xdr:col>
      <xdr:colOff>116681</xdr:colOff>
      <xdr:row>10</xdr:row>
      <xdr:rowOff>314856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Liderança Corporativa 1">
              <a:extLst>
                <a:ext uri="{FF2B5EF4-FFF2-40B4-BE49-F238E27FC236}">
                  <a16:creationId xmlns:a16="http://schemas.microsoft.com/office/drawing/2014/main" id="{FDCE478E-01EF-4A44-8C4C-CBA2B93535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derança Corporativ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6427" y="1556280"/>
              <a:ext cx="16028723" cy="663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239182</xdr:colOff>
      <xdr:row>27</xdr:row>
      <xdr:rowOff>172508</xdr:rowOff>
    </xdr:from>
    <xdr:to>
      <xdr:col>12</xdr:col>
      <xdr:colOff>138112</xdr:colOff>
      <xdr:row>42</xdr:row>
      <xdr:rowOff>168276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Gerência 1">
              <a:extLst>
                <a:ext uri="{FF2B5EF4-FFF2-40B4-BE49-F238E27FC236}">
                  <a16:creationId xmlns:a16="http://schemas.microsoft.com/office/drawing/2014/main" id="{0B5022A0-153D-4F06-9B82-B46A73F0AF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rênc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8463" y="5482696"/>
              <a:ext cx="2946930" cy="30318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168275</xdr:colOff>
      <xdr:row>12</xdr:row>
      <xdr:rowOff>104773</xdr:rowOff>
    </xdr:from>
    <xdr:to>
      <xdr:col>12</xdr:col>
      <xdr:colOff>59532</xdr:colOff>
      <xdr:row>27</xdr:row>
      <xdr:rowOff>38363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Liderança Imediata 1">
              <a:extLst>
                <a:ext uri="{FF2B5EF4-FFF2-40B4-BE49-F238E27FC236}">
                  <a16:creationId xmlns:a16="http://schemas.microsoft.com/office/drawing/2014/main" id="{1BFD06BB-06EB-4C52-9054-DB107E06BC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derança Imediat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7556" y="2378867"/>
              <a:ext cx="2939257" cy="29696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2768303</xdr:colOff>
      <xdr:row>0</xdr:row>
      <xdr:rowOff>107607</xdr:rowOff>
    </xdr:from>
    <xdr:to>
      <xdr:col>2</xdr:col>
      <xdr:colOff>637876</xdr:colOff>
      <xdr:row>5</xdr:row>
      <xdr:rowOff>71439</xdr:rowOff>
    </xdr:to>
    <xdr:grpSp>
      <xdr:nvGrpSpPr>
        <xdr:cNvPr id="9" name="Agrupar 11">
          <a:extLst>
            <a:ext uri="{FF2B5EF4-FFF2-40B4-BE49-F238E27FC236}">
              <a16:creationId xmlns:a16="http://schemas.microsoft.com/office/drawing/2014/main" id="{ABE55923-3051-40C6-89D7-92D01B5DF80B}"/>
            </a:ext>
            <a:ext uri="{147F2762-F138-4A5C-976F-8EAC2B608ADB}">
              <a16:predDERef xmlns:a16="http://schemas.microsoft.com/office/drawing/2014/main" pred="{1BFD06BB-06EB-4C52-9054-DB107E06BCD2}"/>
            </a:ext>
          </a:extLst>
        </xdr:cNvPr>
        <xdr:cNvGrpSpPr/>
      </xdr:nvGrpSpPr>
      <xdr:grpSpPr>
        <a:xfrm>
          <a:off x="5518647" y="107607"/>
          <a:ext cx="1667667" cy="856801"/>
          <a:chOff x="8713225" y="122952"/>
          <a:chExt cx="1702856" cy="852721"/>
        </a:xfrm>
      </xdr:grpSpPr>
      <xdr:sp macro="" textlink="">
        <xdr:nvSpPr>
          <xdr:cNvPr id="10" name="Retângulo: Cantos Arredondados 12">
            <a:extLst>
              <a:ext uri="{FF2B5EF4-FFF2-40B4-BE49-F238E27FC236}">
                <a16:creationId xmlns:a16="http://schemas.microsoft.com/office/drawing/2014/main" id="{18AF7306-4F2D-3E8C-9277-6F6280007D8A}"/>
              </a:ext>
            </a:extLst>
          </xdr:cNvPr>
          <xdr:cNvSpPr/>
        </xdr:nvSpPr>
        <xdr:spPr>
          <a:xfrm>
            <a:off x="8854019" y="148169"/>
            <a:ext cx="1348314" cy="666748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50800" dist="38100" dir="13500000" algn="br" rotWithShape="0">
              <a:prstClr val="black">
                <a:alpha val="40000"/>
              </a:prstClr>
            </a:outerShdw>
          </a:effec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/>
          </a:p>
        </xdr:txBody>
      </xdr:sp>
      <xdr:sp macro="" textlink="">
        <xdr:nvSpPr>
          <xdr:cNvPr id="11" name="CaixaDeTexto 13">
            <a:extLst>
              <a:ext uri="{FF2B5EF4-FFF2-40B4-BE49-F238E27FC236}">
                <a16:creationId xmlns:a16="http://schemas.microsoft.com/office/drawing/2014/main" id="{E61C9571-CDB7-C483-F77A-EAF12D1658F6}"/>
              </a:ext>
            </a:extLst>
          </xdr:cNvPr>
          <xdr:cNvSpPr txBox="1"/>
        </xdr:nvSpPr>
        <xdr:spPr>
          <a:xfrm>
            <a:off x="8713225" y="122952"/>
            <a:ext cx="1702856" cy="5316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400" b="1">
                <a:solidFill>
                  <a:sysClr val="windowText" lastClr="000000"/>
                </a:solidFill>
              </a:rPr>
              <a:t>40%</a:t>
            </a:r>
          </a:p>
        </xdr:txBody>
      </xdr:sp>
      <xdr:sp macro="" textlink="">
        <xdr:nvSpPr>
          <xdr:cNvPr id="16" name="CaixaDeTexto 14">
            <a:extLst>
              <a:ext uri="{FF2B5EF4-FFF2-40B4-BE49-F238E27FC236}">
                <a16:creationId xmlns:a16="http://schemas.microsoft.com/office/drawing/2014/main" id="{F9E5F3A7-E9C5-0FE9-22A9-CE78B8DFF47E}"/>
              </a:ext>
            </a:extLst>
          </xdr:cNvPr>
          <xdr:cNvSpPr txBox="1"/>
        </xdr:nvSpPr>
        <xdr:spPr>
          <a:xfrm>
            <a:off x="8756061" y="495188"/>
            <a:ext cx="1464296" cy="4804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8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% ESTÁ CURSANDO </a:t>
            </a:r>
          </a:p>
          <a:p>
            <a:pPr algn="ctr"/>
            <a:r>
              <a:rPr lang="pt-BR" sz="8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TRILHA</a:t>
            </a:r>
            <a:endParaRPr lang="pt-BR" sz="1200">
              <a:effectLst/>
            </a:endParaRPr>
          </a:p>
        </xdr:txBody>
      </xdr:sp>
    </xdr:grpSp>
    <xdr:clientData/>
  </xdr:twoCellAnchor>
  <xdr:twoCellAnchor>
    <xdr:from>
      <xdr:col>5</xdr:col>
      <xdr:colOff>23263</xdr:colOff>
      <xdr:row>0</xdr:row>
      <xdr:rowOff>107156</xdr:rowOff>
    </xdr:from>
    <xdr:to>
      <xdr:col>7</xdr:col>
      <xdr:colOff>376237</xdr:colOff>
      <xdr:row>4</xdr:row>
      <xdr:rowOff>124945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1D820270-EC68-ECE2-92D3-6F96709652ED}"/>
            </a:ext>
            <a:ext uri="{147F2762-F138-4A5C-976F-8EAC2B608ADB}">
              <a16:predDERef xmlns:a16="http://schemas.microsoft.com/office/drawing/2014/main" pred="{ABE55923-3051-40C6-89D7-92D01B5DF80B}"/>
            </a:ext>
          </a:extLst>
        </xdr:cNvPr>
        <xdr:cNvSpPr/>
      </xdr:nvSpPr>
      <xdr:spPr>
        <a:xfrm>
          <a:off x="8224288" y="107156"/>
          <a:ext cx="1886499" cy="713114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100665</xdr:colOff>
      <xdr:row>0</xdr:row>
      <xdr:rowOff>70909</xdr:rowOff>
    </xdr:from>
    <xdr:to>
      <xdr:col>7</xdr:col>
      <xdr:colOff>273257</xdr:colOff>
      <xdr:row>2</xdr:row>
      <xdr:rowOff>180903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97808D66-D054-3509-49F7-E272A73BE89E}"/>
            </a:ext>
            <a:ext uri="{147F2762-F138-4A5C-976F-8EAC2B608ADB}">
              <a16:predDERef xmlns:a16="http://schemas.microsoft.com/office/drawing/2014/main" pred="{1D820270-EC68-ECE2-92D3-6F96709652ED}"/>
            </a:ext>
          </a:extLst>
        </xdr:cNvPr>
        <xdr:cNvSpPr txBox="1"/>
      </xdr:nvSpPr>
      <xdr:spPr>
        <a:xfrm>
          <a:off x="8301690" y="70909"/>
          <a:ext cx="1706117" cy="510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 i="0" u="none" strike="noStrike">
              <a:solidFill>
                <a:srgbClr val="000000"/>
              </a:solidFill>
              <a:latin typeface="Calibri"/>
              <a:cs typeface="Calibri"/>
            </a:rPr>
            <a:t>41.626</a:t>
          </a:r>
        </a:p>
      </xdr:txBody>
    </xdr:sp>
    <xdr:clientData/>
  </xdr:twoCellAnchor>
  <xdr:twoCellAnchor>
    <xdr:from>
      <xdr:col>5</xdr:col>
      <xdr:colOff>77201</xdr:colOff>
      <xdr:row>2</xdr:row>
      <xdr:rowOff>94389</xdr:rowOff>
    </xdr:from>
    <xdr:to>
      <xdr:col>7</xdr:col>
      <xdr:colOff>361868</xdr:colOff>
      <xdr:row>4</xdr:row>
      <xdr:rowOff>152400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F646978B-F2A0-64AD-7959-7BA20CD55908}"/>
            </a:ext>
            <a:ext uri="{147F2762-F138-4A5C-976F-8EAC2B608ADB}">
              <a16:predDERef xmlns:a16="http://schemas.microsoft.com/office/drawing/2014/main" pred="{97808D66-D054-3509-49F7-E272A73BE89E}"/>
            </a:ext>
          </a:extLst>
        </xdr:cNvPr>
        <xdr:cNvSpPr txBox="1"/>
      </xdr:nvSpPr>
      <xdr:spPr>
        <a:xfrm>
          <a:off x="8278226" y="494439"/>
          <a:ext cx="1818192" cy="353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HORAS PREVISTAS </a:t>
          </a:r>
        </a:p>
        <a:p>
          <a:pPr algn="ctr"/>
          <a:r>
            <a:rPr lang="pt-BR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TRILHA</a:t>
          </a:r>
          <a:endParaRPr lang="pt-BR" sz="1200">
            <a:effectLst/>
          </a:endParaRPr>
        </a:p>
      </xdr:txBody>
    </xdr:sp>
    <xdr:clientData/>
  </xdr:twoCellAnchor>
  <xdr:twoCellAnchor>
    <xdr:from>
      <xdr:col>7</xdr:col>
      <xdr:colOff>321472</xdr:colOff>
      <xdr:row>0</xdr:row>
      <xdr:rowOff>59005</xdr:rowOff>
    </xdr:from>
    <xdr:to>
      <xdr:col>11</xdr:col>
      <xdr:colOff>337081</xdr:colOff>
      <xdr:row>2</xdr:row>
      <xdr:rowOff>142874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B14733EF-1B87-0957-92F8-3553C6B70510}"/>
            </a:ext>
            <a:ext uri="{147F2762-F138-4A5C-976F-8EAC2B608ADB}">
              <a16:predDERef xmlns:a16="http://schemas.microsoft.com/office/drawing/2014/main" pred="{F646978B-F2A0-64AD-7959-7BA20CD55908}"/>
            </a:ext>
          </a:extLst>
        </xdr:cNvPr>
        <xdr:cNvSpPr txBox="1"/>
      </xdr:nvSpPr>
      <xdr:spPr>
        <a:xfrm>
          <a:off x="11013285" y="59005"/>
          <a:ext cx="1908702" cy="488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3200" b="1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20.000</a:t>
          </a:r>
        </a:p>
      </xdr:txBody>
    </xdr:sp>
    <xdr:clientData/>
  </xdr:twoCellAnchor>
  <xdr:twoCellAnchor>
    <xdr:from>
      <xdr:col>2</xdr:col>
      <xdr:colOff>591875</xdr:colOff>
      <xdr:row>0</xdr:row>
      <xdr:rowOff>117558</xdr:rowOff>
    </xdr:from>
    <xdr:to>
      <xdr:col>4</xdr:col>
      <xdr:colOff>385501</xdr:colOff>
      <xdr:row>4</xdr:row>
      <xdr:rowOff>85725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99A9EA75-87F0-4914-BC78-3CAFA17C5A40}"/>
            </a:ext>
            <a:ext uri="{147F2762-F138-4A5C-976F-8EAC2B608ADB}">
              <a16:predDERef xmlns:a16="http://schemas.microsoft.com/office/drawing/2014/main" pred="{B14733EF-1B87-0957-92F8-3553C6B70510}"/>
            </a:ext>
          </a:extLst>
        </xdr:cNvPr>
        <xdr:cNvSpPr/>
      </xdr:nvSpPr>
      <xdr:spPr>
        <a:xfrm>
          <a:off x="6973625" y="117558"/>
          <a:ext cx="1136651" cy="663492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17465</xdr:colOff>
      <xdr:row>0</xdr:row>
      <xdr:rowOff>87842</xdr:rowOff>
    </xdr:from>
    <xdr:to>
      <xdr:col>4</xdr:col>
      <xdr:colOff>367774</xdr:colOff>
      <xdr:row>2</xdr:row>
      <xdr:rowOff>169459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5D12CF83-BE92-45E2-B890-A1DB8BC76D21}"/>
            </a:ext>
            <a:ext uri="{147F2762-F138-4A5C-976F-8EAC2B608ADB}">
              <a16:predDERef xmlns:a16="http://schemas.microsoft.com/office/drawing/2014/main" pred="{99A9EA75-87F0-4914-BC78-3CAFA17C5A40}"/>
            </a:ext>
          </a:extLst>
        </xdr:cNvPr>
        <xdr:cNvSpPr txBox="1"/>
      </xdr:nvSpPr>
      <xdr:spPr>
        <a:xfrm>
          <a:off x="7085015" y="87842"/>
          <a:ext cx="1007534" cy="48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 b="1">
              <a:solidFill>
                <a:sysClr val="windowText" lastClr="000000"/>
              </a:solidFill>
            </a:rPr>
            <a:t>60%</a:t>
          </a:r>
        </a:p>
      </xdr:txBody>
    </xdr:sp>
    <xdr:clientData/>
  </xdr:twoCellAnchor>
  <xdr:twoCellAnchor>
    <xdr:from>
      <xdr:col>2</xdr:col>
      <xdr:colOff>639496</xdr:colOff>
      <xdr:row>2</xdr:row>
      <xdr:rowOff>85724</xdr:rowOff>
    </xdr:from>
    <xdr:to>
      <xdr:col>4</xdr:col>
      <xdr:colOff>376237</xdr:colOff>
      <xdr:row>4</xdr:row>
      <xdr:rowOff>168274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786FED80-F54C-43DD-9ED9-16DCEB531228}"/>
            </a:ext>
            <a:ext uri="{147F2762-F138-4A5C-976F-8EAC2B608ADB}">
              <a16:predDERef xmlns:a16="http://schemas.microsoft.com/office/drawing/2014/main" pred="{5D12CF83-BE92-45E2-B890-A1DB8BC76D21}"/>
            </a:ext>
          </a:extLst>
        </xdr:cNvPr>
        <xdr:cNvSpPr txBox="1"/>
      </xdr:nvSpPr>
      <xdr:spPr>
        <a:xfrm>
          <a:off x="7021246" y="485774"/>
          <a:ext cx="1079766" cy="377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r>
            <a:rPr lang="pt-BR" sz="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CONCLUIU </a:t>
          </a:r>
        </a:p>
        <a:p>
          <a:pPr algn="ctr"/>
          <a:r>
            <a:rPr lang="pt-BR" sz="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TRILHA</a:t>
          </a:r>
          <a:endParaRPr lang="pt-BR" sz="1200">
            <a:effectLst/>
          </a:endParaRPr>
        </a:p>
      </xdr:txBody>
    </xdr:sp>
    <xdr:clientData/>
  </xdr:twoCellAnchor>
  <xdr:twoCellAnchor>
    <xdr:from>
      <xdr:col>7</xdr:col>
      <xdr:colOff>671245</xdr:colOff>
      <xdr:row>2</xdr:row>
      <xdr:rowOff>96572</xdr:rowOff>
    </xdr:from>
    <xdr:to>
      <xdr:col>11</xdr:col>
      <xdr:colOff>80966</xdr:colOff>
      <xdr:row>4</xdr:row>
      <xdr:rowOff>151608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C90608DC-BA99-4C1E-A1BF-5EF67B9ACA00}"/>
            </a:ext>
            <a:ext uri="{147F2762-F138-4A5C-976F-8EAC2B608ADB}">
              <a16:predDERef xmlns:a16="http://schemas.microsoft.com/office/drawing/2014/main" pred="{786FED80-F54C-43DD-9ED9-16DCEB531228}"/>
            </a:ext>
          </a:extLst>
        </xdr:cNvPr>
        <xdr:cNvSpPr txBox="1"/>
      </xdr:nvSpPr>
      <xdr:spPr>
        <a:xfrm flipH="1">
          <a:off x="11363058" y="501385"/>
          <a:ext cx="1302814" cy="352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HORAS CURSADAS</a:t>
          </a:r>
        </a:p>
        <a:p>
          <a:pPr algn="ctr"/>
          <a:r>
            <a:rPr lang="pt-BR" sz="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TRILHA</a:t>
          </a:r>
        </a:p>
      </xdr:txBody>
    </xdr:sp>
    <xdr:clientData/>
  </xdr:twoCellAnchor>
  <xdr:twoCellAnchor editAs="oneCell">
    <xdr:from>
      <xdr:col>0</xdr:col>
      <xdr:colOff>196056</xdr:colOff>
      <xdr:row>24</xdr:row>
      <xdr:rowOff>106893</xdr:rowOff>
    </xdr:from>
    <xdr:to>
      <xdr:col>0</xdr:col>
      <xdr:colOff>2371989</xdr:colOff>
      <xdr:row>37</xdr:row>
      <xdr:rowOff>159810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ESTADO 1">
              <a:extLst>
                <a:ext uri="{FF2B5EF4-FFF2-40B4-BE49-F238E27FC236}">
                  <a16:creationId xmlns:a16="http://schemas.microsoft.com/office/drawing/2014/main" id="{41BE3249-FE3B-409D-B048-A535917ACB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056" y="4809862"/>
              <a:ext cx="2175933" cy="26841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172244</xdr:colOff>
      <xdr:row>10</xdr:row>
      <xdr:rowOff>155310</xdr:rowOff>
    </xdr:from>
    <xdr:to>
      <xdr:col>0</xdr:col>
      <xdr:colOff>2369343</xdr:colOff>
      <xdr:row>24</xdr:row>
      <xdr:rowOff>42597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UNIDADE 1">
              <a:extLst>
                <a:ext uri="{FF2B5EF4-FFF2-40B4-BE49-F238E27FC236}">
                  <a16:creationId xmlns:a16="http://schemas.microsoft.com/office/drawing/2014/main" id="{44EEA50D-6EAF-45CD-8FA3-6EF160F5CC2D}"/>
                </a:ext>
                <a:ext uri="{147F2762-F138-4A5C-976F-8EAC2B608ADB}">
                  <a16:predDERef xmlns:a16="http://schemas.microsoft.com/office/drawing/2014/main" pred="{41BE3249-FE3B-409D-B048-A535917ACB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244" y="1984110"/>
              <a:ext cx="2197099" cy="2682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2247900</xdr:colOff>
      <xdr:row>1</xdr:row>
      <xdr:rowOff>9525</xdr:rowOff>
    </xdr:from>
    <xdr:to>
      <xdr:col>0</xdr:col>
      <xdr:colOff>4248150</xdr:colOff>
      <xdr:row>3</xdr:row>
      <xdr:rowOff>29936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EF22B3B-E072-420F-89EE-45A6EE5B5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209550"/>
          <a:ext cx="2000250" cy="420461"/>
        </a:xfrm>
        <a:prstGeom prst="rect">
          <a:avLst/>
        </a:prstGeom>
      </xdr:spPr>
    </xdr:pic>
    <xdr:clientData/>
  </xdr:twoCellAnchor>
  <xdr:twoCellAnchor editAs="oneCell">
    <xdr:from>
      <xdr:col>0</xdr:col>
      <xdr:colOff>125474</xdr:colOff>
      <xdr:row>0</xdr:row>
      <xdr:rowOff>104776</xdr:rowOff>
    </xdr:from>
    <xdr:to>
      <xdr:col>0</xdr:col>
      <xdr:colOff>2066926</xdr:colOff>
      <xdr:row>3</xdr:row>
      <xdr:rowOff>29705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74A5B02-FE6A-4924-B82D-A01533C69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74" y="104776"/>
          <a:ext cx="1941452" cy="525004"/>
        </a:xfrm>
        <a:prstGeom prst="rect">
          <a:avLst/>
        </a:prstGeom>
      </xdr:spPr>
    </xdr:pic>
    <xdr:clientData/>
  </xdr:twoCellAnchor>
  <xdr:twoCellAnchor>
    <xdr:from>
      <xdr:col>1</xdr:col>
      <xdr:colOff>657225</xdr:colOff>
      <xdr:row>4</xdr:row>
      <xdr:rowOff>76200</xdr:rowOff>
    </xdr:from>
    <xdr:to>
      <xdr:col>1</xdr:col>
      <xdr:colOff>2781300</xdr:colOff>
      <xdr:row>5</xdr:row>
      <xdr:rowOff>142875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4D0B84-6C9F-4EE4-9A0A-303BBA7F75E1}"/>
            </a:ext>
          </a:extLst>
        </xdr:cNvPr>
        <xdr:cNvSpPr/>
      </xdr:nvSpPr>
      <xdr:spPr>
        <a:xfrm>
          <a:off x="3990975" y="876300"/>
          <a:ext cx="2124075" cy="26670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chemeClr val="bg1"/>
              </a:solidFill>
            </a:rPr>
            <a:t>Relatório</a:t>
          </a:r>
          <a:endParaRPr lang="pt-BR" sz="1400" b="1" baseline="0">
            <a:solidFill>
              <a:schemeClr val="bg1"/>
            </a:solidFill>
          </a:endParaRPr>
        </a:p>
        <a:p>
          <a:pPr algn="ctr"/>
          <a:endParaRPr lang="pt-BR" sz="1400" b="1">
            <a:solidFill>
              <a:schemeClr val="bg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riano dos Santos Junior" id="{C9D8FA70-41BF-429F-AFBA-9CF8AAE252D6}" userId="S::rcc67239@mdb.com.br::6c23e544-4ffd-4d2d-bfe6-313b877e16c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DOS SANTOS JUNIOR" refreshedDate="46164.708086921295" createdVersion="8" refreshedVersion="8" minRefreshableVersion="3" recordCount="517" xr:uid="{D00B4033-D947-4FAF-9742-A2033D3F4080}">
  <cacheSource type="worksheet">
    <worksheetSource ref="A7:P524" sheet="Relatorio"/>
  </cacheSource>
  <cacheFields count="16">
    <cacheField name="Nome" numFmtId="0">
      <sharedItems containsBlank="1" count="1059">
        <s v="Colaborador_001"/>
        <s v="Colaborador_002"/>
        <s v="Colaborador_003"/>
        <s v="Colaborador_004"/>
        <s v="Colaborador_005"/>
        <s v="Colaborador_006"/>
        <s v="Colaborador_007"/>
        <s v="Colaborador_008"/>
        <s v="Colaborador_009"/>
        <s v="Colaborador_010"/>
        <s v="Colaborador_011"/>
        <s v="Colaborador_012"/>
        <s v="Colaborador_013"/>
        <s v="Colaborador_014"/>
        <s v="Colaborador_015"/>
        <s v="Colaborador_016"/>
        <s v="Colaborador_017"/>
        <s v="Colaborador_018"/>
        <s v="Colaborador_019"/>
        <s v="Colaborador_020"/>
        <s v="Colaborador_021"/>
        <s v="Colaborador_022"/>
        <s v="Colaborador_023"/>
        <s v="Colaborador_024"/>
        <s v="Colaborador_025"/>
        <s v="Colaborador_026"/>
        <s v="Colaborador_027"/>
        <s v="Colaborador_028"/>
        <s v="Colaborador_029"/>
        <s v="Colaborador_030"/>
        <s v="Colaborador_031"/>
        <s v="Colaborador_032"/>
        <s v="Colaborador_033"/>
        <s v="Colaborador_034"/>
        <s v="Colaborador_035"/>
        <s v="Colaborador_036"/>
        <s v="Colaborador_037"/>
        <s v="Colaborador_038"/>
        <s v="Colaborador_039"/>
        <s v="Colaborador_040"/>
        <s v="Colaborador_041"/>
        <s v="Colaborador_042"/>
        <s v="Colaborador_043"/>
        <s v="Colaborador_044"/>
        <s v="Colaborador_045"/>
        <s v="Colaborador_046"/>
        <s v="Colaborador_047"/>
        <s v="Colaborador_048"/>
        <s v="Colaborador_049"/>
        <s v="Colaborador_050"/>
        <s v="Colaborador_051"/>
        <s v="Colaborador_052"/>
        <s v="Colaborador_053"/>
        <s v="Colaborador_054"/>
        <s v="Colaborador_055"/>
        <s v="Colaborador_056"/>
        <s v="Colaborador_057"/>
        <s v="Colaborador_058"/>
        <s v="Colaborador_059"/>
        <s v="Colaborador_060"/>
        <s v="Colaborador_061"/>
        <s v="Colaborador_062"/>
        <s v="Colaborador_063"/>
        <s v="Colaborador_064"/>
        <s v="Colaborador_065"/>
        <s v="Colaborador_066"/>
        <s v="Colaborador_067"/>
        <s v="Colaborador_068"/>
        <s v="Colaborador_069"/>
        <s v="Colaborador_070"/>
        <s v="Colaborador_071"/>
        <s v="Colaborador_072"/>
        <s v="Colaborador_073"/>
        <s v="Colaborador_074"/>
        <s v="Colaborador_075"/>
        <s v="Colaborador_076"/>
        <s v="Colaborador_077"/>
        <s v="Colaborador_078"/>
        <s v="Colaborador_079"/>
        <s v="Colaborador_080"/>
        <s v="Colaborador_081"/>
        <s v="Colaborador_082"/>
        <s v="Colaborador_083"/>
        <s v="Colaborador_084"/>
        <s v="Colaborador_085"/>
        <s v="Colaborador_086"/>
        <s v="Colaborador_087"/>
        <s v="Colaborador_088"/>
        <s v="Colaborador_089"/>
        <s v="Colaborador_090"/>
        <s v="Colaborador_091"/>
        <s v="Colaborador_092"/>
        <s v="Colaborador_093"/>
        <s v="Colaborador_094"/>
        <s v="Colaborador_095"/>
        <s v="Colaborador_096"/>
        <s v="Colaborador_097"/>
        <s v="Colaborador_098"/>
        <s v="Colaborador_099"/>
        <s v="Colaborador_100"/>
        <s v="Colaborador_101"/>
        <s v="Colaborador_102"/>
        <s v="Colaborador_103"/>
        <s v="Colaborador_104"/>
        <s v="Colaborador_105"/>
        <s v="Colaborador_106"/>
        <s v="Colaborador_107"/>
        <s v="Colaborador_108"/>
        <s v="Colaborador_109"/>
        <s v="Colaborador_110"/>
        <s v="Colaborador_111"/>
        <s v="Colaborador_112"/>
        <s v="Colaborador_113"/>
        <s v="Colaborador_114"/>
        <s v="Colaborador_115"/>
        <s v="Colaborador_116"/>
        <s v="Colaborador_117"/>
        <s v="Colaborador_118"/>
        <s v="Colaborador_119"/>
        <s v="Colaborador_120"/>
        <s v="Colaborador_121"/>
        <s v="Colaborador_122"/>
        <s v="Colaborador_123"/>
        <s v="Colaborador_124"/>
        <s v="Colaborador_125"/>
        <s v="Colaborador_126"/>
        <s v="Colaborador_127"/>
        <s v="Colaborador_128"/>
        <s v="Colaborador_129"/>
        <s v="Colaborador_130"/>
        <s v="Colaborador_131"/>
        <s v="Colaborador_132"/>
        <s v="Colaborador_133"/>
        <s v="Colaborador_134"/>
        <s v="Colaborador_135"/>
        <s v="Colaborador_136"/>
        <s v="Colaborador_137"/>
        <s v="Colaborador_138"/>
        <s v="Colaborador_139"/>
        <s v="Colaborador_140"/>
        <s v="Colaborador_141"/>
        <s v="Colaborador_142"/>
        <s v="Colaborador_143"/>
        <s v="Colaborador_144"/>
        <s v="Colaborador_145"/>
        <s v="Colaborador_146"/>
        <s v="Colaborador_147"/>
        <s v="Colaborador_148"/>
        <s v="Colaborador_149"/>
        <s v="Colaborador_150"/>
        <s v="Colaborador_151"/>
        <s v="Colaborador_152"/>
        <s v="Colaborador_153"/>
        <s v="Colaborador_154"/>
        <s v="Colaborador_155"/>
        <s v="Colaborador_156"/>
        <s v="Colaborador_157"/>
        <s v="Colaborador_158"/>
        <s v="Colaborador_159"/>
        <s v="Colaborador_160"/>
        <s v="Colaborador_161"/>
        <s v="Colaborador_162"/>
        <s v="Colaborador_163"/>
        <s v="Colaborador_164"/>
        <s v="Colaborador_165"/>
        <s v="Colaborador_166"/>
        <s v="Colaborador_167"/>
        <s v="Colaborador_168"/>
        <s v="Colaborador_169"/>
        <s v="Colaborador_170"/>
        <s v="Colaborador_171"/>
        <s v="Colaborador_172"/>
        <s v="Colaborador_173"/>
        <s v="Colaborador_174"/>
        <s v="Colaborador_175"/>
        <s v="Colaborador_176"/>
        <s v="Colaborador_177"/>
        <s v="Colaborador_178"/>
        <s v="Colaborador_179"/>
        <s v="Colaborador_180"/>
        <s v="Colaborador_181"/>
        <s v="Colaborador_182"/>
        <s v="Colaborador_183"/>
        <s v="Colaborador_184"/>
        <s v="Colaborador_185"/>
        <s v="Colaborador_186"/>
        <s v="Colaborador_187"/>
        <s v="Colaborador_188"/>
        <s v="Colaborador_189"/>
        <s v="Colaborador_190"/>
        <s v="Colaborador_191"/>
        <s v="Colaborador_192"/>
        <s v="Colaborador_193"/>
        <s v="Colaborador_194"/>
        <s v="Colaborador_195"/>
        <s v="Colaborador_196"/>
        <s v="Colaborador_197"/>
        <s v="Colaborador_198"/>
        <s v="Colaborador_199"/>
        <s v="Colaborador_200"/>
        <s v="Colaborador_201"/>
        <s v="Colaborador_202"/>
        <s v="Colaborador_203"/>
        <s v="Colaborador_204"/>
        <s v="Colaborador_205"/>
        <s v="Colaborador_206"/>
        <s v="Colaborador_207"/>
        <s v="Colaborador_208"/>
        <s v="Colaborador_209"/>
        <s v="Colaborador_210"/>
        <s v="Colaborador_211"/>
        <s v="Colaborador_212"/>
        <s v="Colaborador_213"/>
        <s v="Colaborador_214"/>
        <s v="Colaborador_215"/>
        <s v="Colaborador_216"/>
        <s v="Colaborador_217"/>
        <s v="Colaborador_218"/>
        <s v="Colaborador_219"/>
        <s v="Colaborador_220"/>
        <s v="Colaborador_221"/>
        <s v="Colaborador_222"/>
        <s v="Colaborador_223"/>
        <s v="Colaborador_224"/>
        <s v="Colaborador_225"/>
        <s v="Colaborador_226"/>
        <s v="Colaborador_227"/>
        <s v="Colaborador_228"/>
        <s v="Colaborador_229"/>
        <s v="Colaborador_230"/>
        <s v="Colaborador_231"/>
        <s v="Colaborador_232"/>
        <s v="Colaborador_233"/>
        <s v="Colaborador_234"/>
        <s v="Colaborador_235"/>
        <s v="Colaborador_236"/>
        <s v="Colaborador_237"/>
        <s v="Colaborador_238"/>
        <s v="Colaborador_239"/>
        <s v="Colaborador_240"/>
        <s v="Colaborador_241"/>
        <s v="Colaborador_242"/>
        <s v="Colaborador_243"/>
        <s v="Colaborador_244"/>
        <s v="Colaborador_245"/>
        <s v="Colaborador_246"/>
        <s v="Colaborador_247"/>
        <s v="Colaborador_248"/>
        <s v="Colaborador_249"/>
        <s v="Colaborador_250"/>
        <s v="Colaborador_251"/>
        <s v="Colaborador_252"/>
        <s v="Colaborador_253"/>
        <s v="Colaborador_254"/>
        <s v="Colaborador_255"/>
        <s v="Colaborador_256"/>
        <s v="Colaborador_257"/>
        <s v="Colaborador_258"/>
        <s v="Colaborador_259"/>
        <s v="Colaborador_260"/>
        <s v="Colaborador_261"/>
        <s v="Colaborador_262"/>
        <s v="Colaborador_263"/>
        <s v="Colaborador_264"/>
        <s v="Colaborador_265"/>
        <s v="Colaborador_266"/>
        <s v="Colaborador_267"/>
        <s v="Colaborador_268"/>
        <s v="Colaborador_269"/>
        <s v="Colaborador_270"/>
        <s v="Colaborador_271"/>
        <s v="Colaborador_272"/>
        <s v="Colaborador_273"/>
        <s v="Colaborador_274"/>
        <s v="Colaborador_275"/>
        <s v="Colaborador_276"/>
        <s v="Colaborador_277"/>
        <s v="Colaborador_278"/>
        <s v="Colaborador_279"/>
        <s v="Colaborador_280"/>
        <s v="Colaborador_281"/>
        <s v="Colaborador_282"/>
        <s v="Colaborador_283"/>
        <s v="Colaborador_284"/>
        <s v="Colaborador_285"/>
        <s v="Colaborador_286"/>
        <s v="Colaborador_287"/>
        <s v="Colaborador_288"/>
        <s v="Colaborador_289"/>
        <s v="Colaborador_290"/>
        <s v="Colaborador_291"/>
        <s v="Colaborador_292"/>
        <s v="Colaborador_293"/>
        <s v="Colaborador_294"/>
        <s v="Colaborador_295"/>
        <s v="Colaborador_296"/>
        <s v="Colaborador_297"/>
        <s v="Colaborador_298"/>
        <s v="Colaborador_299"/>
        <s v="Colaborador_300"/>
        <s v="Colaborador_301"/>
        <s v="Colaborador_302"/>
        <s v="Colaborador_303"/>
        <s v="Colaborador_304"/>
        <s v="Colaborador_305"/>
        <s v="Colaborador_306"/>
        <s v="Colaborador_307"/>
        <s v="Colaborador_308"/>
        <s v="Colaborador_309"/>
        <s v="Colaborador_310"/>
        <s v="Colaborador_311"/>
        <s v="Colaborador_312"/>
        <s v="Colaborador_313"/>
        <s v="Colaborador_314"/>
        <s v="Colaborador_315"/>
        <s v="Colaborador_316"/>
        <s v="Colaborador_317"/>
        <s v="Colaborador_318"/>
        <s v="Colaborador_319"/>
        <s v="Colaborador_320"/>
        <s v="Colaborador_321"/>
        <s v="Colaborador_322"/>
        <s v="Colaborador_323"/>
        <s v="Colaborador_324"/>
        <s v="Colaborador_325"/>
        <s v="Colaborador_326"/>
        <s v="Colaborador_327"/>
        <s v="Colaborador_328"/>
        <s v="Colaborador_329"/>
        <s v="Colaborador_330"/>
        <s v="Colaborador_331"/>
        <s v="Colaborador_332"/>
        <s v="Colaborador_333"/>
        <s v="Colaborador_334"/>
        <s v="Colaborador_335"/>
        <s v="Colaborador_336"/>
        <s v="Colaborador_337"/>
        <s v="Colaborador_338"/>
        <s v="Colaborador_339"/>
        <s v="Colaborador_340"/>
        <s v="Colaborador_341"/>
        <s v="Colaborador_342"/>
        <s v="Colaborador_343"/>
        <s v="Colaborador_344"/>
        <s v="Colaborador_345"/>
        <s v="Colaborador_346"/>
        <s v="Colaborador_347"/>
        <s v="Colaborador_348"/>
        <s v="Colaborador_349"/>
        <s v="Colaborador_350"/>
        <s v="Colaborador_351"/>
        <s v="Colaborador_352"/>
        <s v="Colaborador_353"/>
        <s v="Colaborador_354"/>
        <s v="Colaborador_355"/>
        <s v="Colaborador_356"/>
        <s v="Colaborador_357"/>
        <s v="Colaborador_358"/>
        <s v="Colaborador_359"/>
        <s v="Colaborador_360"/>
        <s v="Colaborador_361"/>
        <s v="Colaborador_362"/>
        <s v="Colaborador_363"/>
        <s v="Colaborador_364"/>
        <s v="Colaborador_365"/>
        <s v="Colaborador_366"/>
        <s v="Colaborador_367"/>
        <s v="Colaborador_368"/>
        <s v="Colaborador_369"/>
        <s v="Colaborador_370"/>
        <s v="Colaborador_371"/>
        <s v="Colaborador_372"/>
        <s v="Colaborador_373"/>
        <s v="Colaborador_374"/>
        <s v="Colaborador_375"/>
        <s v="Colaborador_376"/>
        <s v="Colaborador_377"/>
        <s v="Colaborador_378"/>
        <s v="Colaborador_379"/>
        <s v="Colaborador_380"/>
        <s v="Colaborador_381"/>
        <s v="Colaborador_382"/>
        <s v="Colaborador_383"/>
        <s v="Colaborador_384"/>
        <s v="Colaborador_385"/>
        <s v="Colaborador_386"/>
        <s v="Colaborador_387"/>
        <s v="Colaborador_388"/>
        <s v="Colaborador_389"/>
        <s v="Colaborador_390"/>
        <s v="Colaborador_391"/>
        <s v="Colaborador_392"/>
        <s v="Colaborador_393"/>
        <s v="Colaborador_394"/>
        <s v="Colaborador_395"/>
        <s v="Colaborador_396"/>
        <s v="Colaborador_397"/>
        <s v="Colaborador_398"/>
        <s v="Colaborador_399"/>
        <s v="Colaborador_400"/>
        <s v="Colaborador_401"/>
        <s v="Colaborador_402"/>
        <s v="Colaborador_403"/>
        <s v="Colaborador_404"/>
        <s v="Colaborador_405"/>
        <s v="Colaborador_406"/>
        <s v="Colaborador_407"/>
        <s v="Colaborador_408"/>
        <s v="Colaborador_409"/>
        <s v="Colaborador_410"/>
        <s v="Colaborador_411"/>
        <s v="Colaborador_412"/>
        <s v="Colaborador_413"/>
        <s v="Colaborador_414"/>
        <s v="Colaborador_415"/>
        <s v="Colaborador_416"/>
        <s v="Colaborador_417"/>
        <s v="Colaborador_418"/>
        <s v="Colaborador_419"/>
        <s v="Colaborador_420"/>
        <s v="Colaborador_421"/>
        <s v="Colaborador_422"/>
        <s v="Colaborador_423"/>
        <s v="Colaborador_424"/>
        <s v="Colaborador_425"/>
        <s v="Colaborador_426"/>
        <s v="Colaborador_427"/>
        <s v="Colaborador_428"/>
        <s v="Colaborador_429"/>
        <s v="Colaborador_430"/>
        <s v="Colaborador_431"/>
        <s v="Colaborador_432"/>
        <s v="Colaborador_433"/>
        <s v="Colaborador_434"/>
        <s v="Colaborador_435"/>
        <s v="Colaborador_436"/>
        <s v="Colaborador_437"/>
        <s v="Colaborador_438"/>
        <s v="Colaborador_439"/>
        <s v="Colaborador_440"/>
        <s v="Colaborador_441"/>
        <s v="Colaborador_442"/>
        <s v="Colaborador_443"/>
        <s v="Colaborador_444"/>
        <s v="Colaborador_445"/>
        <s v="Colaborador_446"/>
        <s v="Colaborador_447"/>
        <s v="Colaborador_448"/>
        <s v="Colaborador_449"/>
        <s v="Colaborador_450"/>
        <s v="Colaborador_451"/>
        <s v="Colaborador_452"/>
        <s v="Colaborador_453"/>
        <s v="Colaborador_454"/>
        <s v="Colaborador_455"/>
        <s v="Colaborador_456"/>
        <s v="Colaborador_457"/>
        <s v="Colaborador_458"/>
        <s v="Colaborador_459"/>
        <s v="Colaborador_460"/>
        <s v="Colaborador_461"/>
        <s v="Colaborador_462"/>
        <s v="Colaborador_463"/>
        <s v="Colaborador_464"/>
        <s v="Colaborador_465"/>
        <s v="Colaborador_466"/>
        <s v="Colaborador_467"/>
        <s v="Colaborador_468"/>
        <s v="Colaborador_469"/>
        <s v="Colaborador_470"/>
        <s v="Colaborador_471"/>
        <s v="Colaborador_472"/>
        <s v="Colaborador_473"/>
        <s v="Colaborador_474"/>
        <s v="Colaborador_475"/>
        <s v="Colaborador_476"/>
        <s v="Colaborador_477"/>
        <s v="Colaborador_478"/>
        <s v="Colaborador_479"/>
        <s v="Colaborador_480"/>
        <s v="Colaborador_481"/>
        <s v="Colaborador_482"/>
        <s v="Colaborador_483"/>
        <s v="Colaborador_484"/>
        <s v="Colaborador_485"/>
        <s v="Colaborador_486"/>
        <s v="Colaborador_487"/>
        <s v="Colaborador_488"/>
        <s v="Colaborador_489"/>
        <s v="Colaborador_490"/>
        <s v="Colaborador_491"/>
        <s v="Colaborador_492"/>
        <s v="Colaborador_493"/>
        <s v="Colaborador_494"/>
        <s v="Colaborador_495"/>
        <s v="Colaborador_496"/>
        <s v="Colaborador_497"/>
        <s v="Colaborador_498"/>
        <s v="Colaborador_499"/>
        <s v="Colaborador_500"/>
        <s v="Colaborador_501"/>
        <s v="Colaborador_502"/>
        <s v="Colaborador_503"/>
        <s v="Colaborador_504"/>
        <s v="Colaborador_505"/>
        <s v="Colaborador_506"/>
        <s v="Colaborador_507"/>
        <s v="Colaborador_508"/>
        <s v="Colaborador_509"/>
        <s v="Colaborador_510"/>
        <s v="Colaborador_511"/>
        <s v="Colaborador_512"/>
        <s v="Colaborador_513"/>
        <s v="Colaborador_514"/>
        <s v="Colaborador_515"/>
        <s v="Colaborador_516"/>
        <s v="Colaborador_517"/>
        <s v="ABIMAEL EUFRAZIO DE OLIVEIRA JUNIOR" u="1"/>
        <s v="ACACIO ABADE MACIEL" u="1"/>
        <s v="ADELMO VITORIO SILVA DOS SANTOS" u="1"/>
        <s v="ADJAIR SEVERINO DE LIRA" u="1"/>
        <s v="AISIS DOS SANTOS REIS" u="1"/>
        <s v="ALAN DE OLIVEIRA" u="1"/>
        <s v="ALESON EDUARDO ALEXANDRE DE SOUZA" u="1"/>
        <s v="ALESSANDRO REVISON SABINO DA SILVA" u="1"/>
        <s v="ALEX ALVES NOBRE" u="1"/>
        <s v="ALEX BORGES DE ARAUJO" u="1"/>
        <s v="ALEX SANTOS NASCIMENTO" u="1"/>
        <s v="ALEXANDRE FALCAO BARRETO" u="1"/>
        <s v="ALEXANDRE MARTINS DA SILVA" u="1"/>
        <s v="ALEXSANDRE RODRIGUES DA SILVA" u="1"/>
        <s v="ALICE COELHO ARAUJO" u="1"/>
        <s v="ALICE THAINA CHAGAS CUSTODE" u="1"/>
        <s v="ALIKAN STEPHEN DE OLIVEIRA DOS SANTOS" u="1"/>
        <s v="ALINA CAMPOS GALVAO DE MACEDO" u="1"/>
        <s v="ALINE SOUZA DILL" u="1"/>
        <s v="ALISSON SOUZA DA PURIFICACAO" u="1"/>
        <s v="ALIXANDRE NOGUEIRA PESSOA" u="1"/>
        <s v="ALLISON ARAUJO GUEDES" u="1"/>
        <s v="ALLISON RIBEIRO DO NASCIMENTO" u="1"/>
        <s v="AMANDA FONSECA DOS SANTOS" u="1"/>
        <s v="AMANDA PINHEIRO DO NASCIMENTO" u="1"/>
        <s v="AMILTON DE OLIVEIRA SOUZA JUNIOR" u="1"/>
        <s v="ANA CATIA DOS SANTOS URBANO" u="1"/>
        <s v="ANA CLAUDIA DE SOUZA NEPOMUCENO" u="1"/>
        <s v="ANA JULIA CORDEIRO PIRES E SILVA" u="1"/>
        <s v="ANA LIVIA ARAUJO DE PONTES ALVES" u="1"/>
        <s v="ANA LUIZA INFANTE SERRANO" u="1"/>
        <s v="ANA PAULA COUTO BASTOS" u="1"/>
        <s v="ANA RAQUEL FERNANDES" u="1"/>
        <s v="ANDERSON BRITO DE SOUZA" u="1"/>
        <s v="ANDERSON CARDOZO LENHARI" u="1"/>
        <s v="ANDERSON SANTOS RIBEIRO DA SILVA" u="1"/>
        <s v="ANDRE LOURENCO DA SILVA" u="1"/>
        <s v="ANDRE WESCLEY OLIVEIRA DE AGUIAR" u="1"/>
        <s v="ANDRESSA DANTAS DE LIMA" u="1"/>
        <s v="ANDREY DE SOUSA DOS SANTOS" u="1"/>
        <s v="ANDREZA FREITAS SIQUEIRA E SOUSA" u="1"/>
        <s v="ANTONIO AUGUSTO DA SILVA E SILVA" u="1"/>
        <s v="ANTONIO DOUGLAS ARAUJO DOS SANTOS" u="1"/>
        <s v="ANTONIO DEUSIMAR LEITE MARTINS JUNIOR" u="1"/>
        <s v="ARIELEN DE MORAIS VIANA" u="1"/>
        <s v="ARLEY KILDES DO NASCIMENTO SAMPAIO" u="1"/>
        <s v="ARNALDO ALEX XAVIER DA COSTA REIS" u="1"/>
        <s v="ARNALDO MAIA DA SILVA" u="1"/>
        <s v="ARTHUR SANTIAGO DE OLIVEIRA" u="1"/>
        <s v="ARY EISLER COMAR JUNIOR" u="1"/>
        <s v="ATARCISIO DA COSTA PEREIRA JUNIOR" u="1"/>
        <s v="AURILIO FELIPE SILVA DE PONTES" u="1"/>
        <s v="BEATRIZ VARJAO PESSOA" u="1"/>
        <s v="BIANCA PALOMA GONCALVES FERREIRA" u="1"/>
        <s v="BRENO HENRIQUE DE SOUSA FERREIRA" u="1"/>
        <s v="BRUNA CHIES" u="1"/>
        <s v="BRUNA FURTADO DOS SANTOS" u="1"/>
        <s v="BRUNA KARINE HENRIQUE GOMES" u="1"/>
        <s v="BRUNNA JESSYCA DOS SANTOS" u="1"/>
        <s v="BRUNO GOMES RODRIGUES" u="1"/>
        <s v="BRUNO IAGO DA SILVA MARQUES" u="1"/>
        <s v="BRYAN NANTES VARELA" u="1"/>
        <s v="CAIO LIMA SILVA DE SENNA" u="1"/>
        <s v="CAIQUE PEREIRA CAETANO" u="1"/>
        <s v="CAMILA RINALDI" u="1"/>
        <s v="CAMILA SOARES LIMA MOTA" u="1"/>
        <s v="CAMILLA MARIA FREITAS DA SILVA" u="1"/>
        <s v="CARLA ARAUJO LINO" u="1"/>
        <s v="CARLA DAIANA PEREIRA SILVA" u="1"/>
        <s v="CARLOS JONATAN JOB KRAUTLER" u="1"/>
        <s v="CAROLINE CASTRO MATHIAS" u="1"/>
        <s v="CESAR AUGUSTO PEREIRA JUNIOR" u="1"/>
        <s v="CHARLYENE MARIA RABELO MENDONCA" u="1"/>
        <s v="CLARISSA TAVARES VIEIRA DE OLIVEIRA" u="1"/>
        <s v="CLAUDIO LOPES DA SILVA" u="1"/>
        <s v="CLAUDIO MARCOS DA SILVA OLIVEIRA" u="1"/>
        <s v="CLEANE MONALISA ARAUJO DE MOURA" u="1"/>
        <s v="CLEBER DIEGO SILVA DE LIMA" u="1"/>
        <s v="CRISTIANO GUIMARAES BARCELOS" u="1"/>
        <s v="CRISTIANO MOURA DA SILVA" u="1"/>
        <s v="CRISTIANO SOUZA MARTINS" u="1"/>
        <s v="DAMARIS DA SILVA VIVEIROS" u="1"/>
        <s v="DANIEL PAULA DE SOUSA" u="1"/>
        <s v="DANIEL RODRIGUES PROENCA" u="1"/>
        <s v="DANIELE ALVES DA SILVA" u="1"/>
        <s v="DANIELE DE ANDRADE NEVES" u="1"/>
        <s v="DANILO SOUZA LIMA" u="1"/>
        <s v="DANILO FERNANDO DE SOUZA" u="1"/>
        <s v="DANILSON CASTRO DOMINGOS" u="1"/>
        <s v="DAVI MACIEL MONTEIRO" u="1"/>
        <s v="DAVID REBOUCAS DOS SANTOS" u="1"/>
        <s v="DAVID SANTOS DE LIMA" u="1"/>
        <s v="DAYANE DA SILVA SILVEIRA" u="1"/>
        <s v="DAYANE MOTA DE SOUSA" u="1"/>
        <s v="DAYSI SANTOS MACIEL" u="1"/>
        <s v="DAYVSON GONCALVES VITORINO" u="1"/>
        <s v="DELANO BRASIL FALCAO" u="1"/>
        <s v="DENNYS DANTAS" u="1"/>
        <s v="DIEGO CARVALHO DA SILVA" u="1"/>
        <s v="DIEGO MENESES DE PAULO" u="1"/>
        <s v="DIEGO NUNES DA SILVA" u="1"/>
        <s v="DIEGO TOMAZ" u="1"/>
        <s v="DOUGLAS ARANTES DA SILVA" u="1"/>
        <s v="DRIELLSON MATHEUS DA SILVA" u="1"/>
        <s v="DULCINEIA QUELL SARTORI" u="1"/>
        <s v="ED FERREIRA DA SILVA JUNIOR" u="1"/>
        <s v="EDER PEREIRA DA SILVA" u="1"/>
        <s v="EDERSON ALBUQUERQUE BESSA" u="1"/>
        <s v="EDGARD CAMILO DE AGUIAR" u="1"/>
        <s v="EDJANE DE SOUSA COELHO CARVALHO" u="1"/>
        <s v="EDMILSON DE ANDRADE FERREIRA" u="1"/>
        <s v="EDNELSON DA COSTA SOARES" u="1"/>
        <s v="EDSON SOARES" u="1"/>
        <s v="EDUARDO CORREIA DA SILVA" u="1"/>
        <s v="EDUARDO MARTINS DE OLIVEIRA" u="1"/>
        <s v="EDUARDO SOUZA DOS SANTOS" u="1"/>
        <s v="EGON GUSTAVO DOS SANTOS" u="1"/>
        <s v="ELIEL SILVESTRI BARBOZA" u="1"/>
        <s v="ELISANGELA TEIXEIRA DE OLIVEIRA" u="1"/>
        <s v="ELIVANDO DUARTE DOS SANTOS" u="1"/>
        <s v="ELMANO PATERA VERDE" u="1"/>
        <s v="ELTON DE SOUZA DOS SANTOS" u="1"/>
        <s v="ELYABE ROBERTHY DE SOUZA ALVES" u="1"/>
        <s v="EMANOELE TEIXEIRA PEREIRA" u="1"/>
        <s v="EMANUEL BRUNO DA ROCHA PINTO" u="1"/>
        <s v="EMERSON DE ARAUJO SOARES" u="1"/>
        <s v="EMILLY BASTOS OLIVEIRA" u="1"/>
        <s v="EMILY MACEDO DIAS CARDOSO" u="1"/>
        <s v="ERICSON DE OLIVEIRA RODRIGUES" u="1"/>
        <s v="ESTEFFSON SILVA ASSUNCAO" u="1"/>
        <s v="EVERALDO JOSE DA SILVA" u="1"/>
        <s v="EWERTON FELIPE DIAS DA SILVA" u="1"/>
        <s v="EZEQUIAS GONCALVES DOS SANTOS" u="1"/>
        <s v="EZIQUEL DE PAULA JUNIOR" u="1"/>
        <s v="FABIANA LIMA NOBRE" u="1"/>
        <s v="FABIANE SILVA DOS SANTOS" u="1"/>
        <s v="FABIANO DE OLIVEIRA SANTOS ZOTARELLI" u="1"/>
        <s v="FABIENE LOPES MARQUES DA SILVA" u="1"/>
        <s v="FABIOLA XAVIER DA SILVA" u="1"/>
        <s v="FABRICIO DOS SANTOS SILVA" u="1"/>
        <s v="FELIPE MACIEL" u="1"/>
        <s v="FELIPE MATHEUS COSTA LIMA" u="1"/>
        <s v="FELIPE WESLEY DO NASCIMENTO ROCHA" u="1"/>
        <s v="FERNANDO DE AZEVEDO COSTA" u="1"/>
        <s v="FERNANDO FERNANDES DE ALMEIDA LIBERAL" u="1"/>
        <s v="FERNANDO HENRIQUE SILVA VITOR" u="1"/>
        <s v="FERNANDO JEFERSON LIMA DE SOUSA BARROS" u="1"/>
        <s v="FERNANDO LUCAS ALMEIDA GUEDES" u="1"/>
        <s v="FILIPE SEIDI KADOWAKI" u="1"/>
        <s v="FLAVIA GRACIELE DA SILVA FREITAS" u="1"/>
        <s v="FRANCIELE LEANDRA SCHMITT" u="1"/>
        <s v="FRANCISCA DAISE COSTA LUZ" u="1"/>
        <s v="FRANCISCA RENATA REBOUCAS MOREIRA" u="1"/>
        <s v="FRANCISCO LENILTON DA SILVA" u="1"/>
        <s v="FRANCISCO ANTONIO VIANA GUILHERME" u="1"/>
        <s v="FRANCISCO AULENISIO ALBUQUERQUE DE LIMA OLIVEIRA" u="1"/>
        <s v="FRANCISCO CAIO ALVES ANGELO" u="1"/>
        <s v="FRANCISCO CARLOS DE ALBUQUERQUE" u="1"/>
        <s v="FRANCISCO CORDULINO DOS SANTOS" u="1"/>
        <s v="FRANCISCO EDILANDIO BARROS FERREIRA" u="1"/>
        <s v="FRANCISCO EDINARDO FREITAS DE ALMEIDA" u="1"/>
        <s v="FRANCISCO EDUARDO BASTOS ARAUJO" u="1"/>
        <s v="FRANCISCO EDUARDO DE SOUSA" u="1"/>
        <s v="FRANCISCO EVERTON GUEDES GONCALVES" u="1"/>
        <s v="FRANCISCO JARDEL RIBEIRO LIMA" u="1"/>
        <s v="FRANCISCO KLEBER ANASTACIO ANDRADE" u="1"/>
        <s v="FRANCISCO MATHEUS PEREIRA DA SILVA" u="1"/>
        <s v="FRANCISCO WELLINGTON ROCHA MAIA" u="1"/>
        <s v="GABRIEL DOS SANTOS PAES LEME" u="1"/>
        <s v="GABRIEL WEBER FOGASSO" u="1"/>
        <s v="GENILDA COSTA MIRANDA" u="1"/>
        <s v="GEORGIA BRUNA DE OLIVEIRA ALMEIDA" u="1"/>
        <s v="GERALDO SERGIO DE ALMEIDA NETO" u="1"/>
        <s v="GERVESON SOUSA DA SILVA" u="1"/>
        <s v="GILMACIO BATISTA PIRES FERREIRA" u="1"/>
        <s v="GILMAR DA SILVA" u="1"/>
        <s v="GIOVANA DE OLIVEIRA FERNANDES" u="1"/>
        <s v="GIZELLE DE OLIVEIRA CAVALCANTE" u="1"/>
        <s v="GLEICE ANDRADE CELESTINO" u="1"/>
        <s v="GLEICIANE DA SILVA ROCHA" u="1"/>
        <s v="GLEICY DANIELLY SILVA DE JESUS" u="1"/>
        <s v="GLEIDSON LUIZ DE JESUS SILVA" u="1"/>
        <s v="GUILHERME MARCATO NAKANO" u="1"/>
        <s v="GUILHERME RETZLAFF MOREIRA" u="1"/>
        <s v="GUSTAVO CAVALCANTI TELES" u="1"/>
        <s v="GUSTAVO HENRIQUE DE SOUZA ALBRECHT" u="1"/>
        <s v="GUSTAVO RODRIGUES DA SILVA" u="1"/>
        <s v="GUTEMBERG DOS SANTOS GOMES" u="1"/>
        <s v="HALYSSON VICTOR ALENCAR" u="1"/>
        <s v="HAYLTON FERREIRA BARBOZA" u="1"/>
        <s v="HERMOGENES MACHADO DA CONCEICAO" u="1"/>
        <s v="IGO RAFAEL DA SILVA LUCENA" u="1"/>
        <s v="ILES OLIVEIRA DE MIRANDA" u="1"/>
        <s v="INACIA TAIZA JORGE AGUIAR" u="1"/>
        <s v="INGRID MATOS IGNACIO" u="1"/>
        <s v="INGRIDIANE GOMES DE OLIVEIRA" u="1"/>
        <s v="IRISLANE BATISTA DA SILVA" u="1"/>
        <s v="ISABEL CRISTINA FERREIRA VIEIRA" u="1"/>
        <s v="ISMAEL ALVES DOS SANTOS" u="1"/>
        <s v="ITALO RENAN OLIVEIRA DOS SANTOS" u="1"/>
        <s v="IVO FREIRE DE ARAUJO FILHO" u="1"/>
        <s v="IZIDIA MARIA SARAIVA COSTA" u="1"/>
        <s v="JACIMARA DE LIMA PEREIRA" u="1"/>
        <s v="JACO SILVA ROCHA JUNIOR" u="1"/>
        <s v="JAINE KELLY DA SILVA VIEIRA" u="1"/>
        <s v="JAIRO MENDONCA FACANHA NETO" u="1"/>
        <s v="JAMYLLE SENA SOARES CARAPEBA" u="1"/>
        <s v="JANAINA MACHADO DA ROSA" u="1"/>
        <s v="JANDEYLSON SOUZA DE LIMA" u="1"/>
        <s v="JANEDSON JUCA DE QUEIROZ FILHO" u="1"/>
        <s v="JANIELE DOS SANTOS OLIVEIRA" u="1"/>
        <s v="JAQUELINE SAURA DA SILVA" u="1"/>
        <s v="JARDEL GUIMARAES FERREIRA" u="1"/>
        <s v="JASIEL DE SOUZA" u="1"/>
        <s v="JASON OLIVEIRA DE SOUZA" u="1"/>
        <s v="JAUCIGLECIA FERREIRA DA SILVA" u="1"/>
        <s v="JEAN CHARLES DE ARAUJO GOMES" u="1"/>
        <s v="JEFERSON DOS SANTOS FIDELIS DA SILVA" u="1"/>
        <s v="JEFFERSON MENDES PAIVA" u="1"/>
        <s v="JESSICA CAMILA DE SOUZA GOIS" u="1"/>
        <s v="JESSICA GONCALVES FIGUEIREDO XAVIER" u="1"/>
        <s v="JESSICA LUANA DA SILVA" u="1"/>
        <s v="JESSICA MARQUES RAIMUNDO" u="1"/>
        <s v="JESSICA MAYARA ALVES PEREIRA" u="1"/>
        <s v="JESSICA RENE MOURA BARBOSA" u="1"/>
        <s v="JHULYANE LIMA PEREIRA" u="1"/>
        <s v="JOANA GABRIELE FERNANDES BARBOSA DE SOUZA" u="1"/>
        <s v="JOAO BATISTA LOBATO FILHO" u="1"/>
        <s v="JOAO GUILHERME ALVES DE SOUSA" u="1"/>
        <s v="JOAO VICTOR VILLALBA DE ABREU SANT ANNA" u="1"/>
        <s v="JOAO MARCOS BARBOSA LIMA" u="1"/>
        <s v="JOAO PEDRO GOMES SANTOS" u="1"/>
        <s v="JOAO VICTOR ALMEIDA GALVAO" u="1"/>
        <s v="JOAQUIM BEZERRA DE ARAUJO NETO" u="1"/>
        <s v="JOAQUIM SABINO FILHO" u="1"/>
        <s v="JOBSON PINHEIRO DE LIMA BEZERRA" u="1"/>
        <s v="JOCELIO BRASILIANO SOARES" u="1"/>
        <s v="JOEL DA SILVA VIANA" u="1"/>
        <s v="JOEL SOUSA DE LUCENA" u="1"/>
        <s v="JOELVERSON CAMARGO RODRIGUES" u="1"/>
        <s v="JONAS ALVES CANUTO" u="1"/>
        <s v="JONAS DA SILVA LEIRIAS" u="1"/>
        <s v="JORDANA LEANDRO MELO" u="1"/>
        <s v="JOSE ANTONIO DA SILVA NASCIMENTO JUNIOR FERREIRA" u="1"/>
        <s v="JOSE AUDIZIO SUBRINHO" u="1"/>
        <s v="JOSE CAMARA AMORIM FILHO" u="1"/>
        <s v="JOSE JARDEL DE AGUIAR OLIVEIRA" u="1"/>
        <s v="JOSE PABLO SANTOS DE OLIVEIRA" u="1"/>
        <s v="JOSE PLINIO DE ALBUQUERQUE FILHO" u="1"/>
        <s v="JOSE RAIMUNDO ROCHA PEREIRA" u="1"/>
        <s v="JOSE RICARDO FERRAREZ" u="1"/>
        <s v="JOSE RIVAMAR OLIVEIRA" u="1"/>
        <s v="JOSE ROGERIO PEREIRA DA SILVA" u="1"/>
        <s v="JOSE ROMILSON INES GUIMARAES" u="1"/>
        <s v="JOSE VENCESLAU ALVES E SILVA" u="1"/>
        <s v="JOSE WENDENSON DOS SANTOS MEDEIROS" u="1"/>
        <s v="JOSENEI DE SOUZA SILVA" u="1"/>
        <s v="JOSINALDO NASCIMENTO DE LIRA" u="1"/>
        <s v="JOYCE SILVA DE OLIVEIRA" u="1"/>
        <s v="JUAN ITALO ARAUJO SALES" u="1"/>
        <s v="JULIA MARIA DE CASTRO LOPES" u="1"/>
        <s v="JULIANA CARQUEIJO GOUVEIA" u="1"/>
        <s v="JULIANA DA COSTA CARDOZO" u="1"/>
        <s v="JULIANA DA SILVA RIBEIRO" u="1"/>
        <s v="JULIANA VASCONCELLOS DUTRA CARDOSO" u="1"/>
        <s v="JULIO CESAR DOS SANTOS RAMOS" u="1"/>
        <s v="KAMILA DE OLIVEIRA SOBREIRA" u="1"/>
        <s v="KAREN FERREIRA ARAUJO SANTINI" u="1"/>
        <s v="KARINE VERAS PINTO" u="1"/>
        <s v="KARLA DOS ANJOS ARAUJO" u="1"/>
        <s v="KARLA LAISSY RODRIGUES DO NASCIMENTO MARQUES" u="1"/>
        <s v="KARLA MESSIAS DA SILVA" u="1"/>
        <s v="KARLA NUBIA ESTRELA DE SOUSA" u="1"/>
        <s v="KARLA SORAYA DE SOUSA VIEIRA" u="1"/>
        <s v="KATIA CRISTINA CONTE" u="1"/>
        <s v="KATIA WIDJA LIMA DOS SANTOS" u="1"/>
        <s v="KAZUYUKI IRIGUCHI JUNIOR" u="1"/>
        <s v="KELLY KARINA DE OLIVEIRA PINTO" u="1"/>
        <s v="KETHLYN HARACEMKO DE OLIVEIRA" u="1"/>
        <s v="LADISLAINE DIAS DA SILVA" u="1"/>
        <s v="LAISA SANTOS PASSOS" u="1"/>
        <s v="LAIZE ALVES DOS SANTOS BENICIO" u="1"/>
        <s v="LARA JAILLY LIMA SILVA" u="1"/>
        <s v="LARA SOUSA DO NASCIMENTO" u="1"/>
        <s v="LARYA CLIRSIA DA COSTA ARAUJO" u="1"/>
        <s v="LAZARO DIAS SANTOS" u="1"/>
        <s v="LEANDRO FREIRE" u="1"/>
        <s v="LEIDIANE ROCHA UCHOA" u="1"/>
        <s v="LEIDIANE SILVA DE OLIVEIRA" u="1"/>
        <s v="LENISE SANTANA SANTOS DE OLIVEIRA" u="1"/>
        <s v="LEONARDO FREITAS CHAGAS" u="1"/>
        <s v="LEONARDO LUIS DOS SANTOS LOPES BEZERRA" u="1"/>
        <s v="LEONARDO MEDRADO DA SILVA E SILVA" u="1"/>
        <s v="LETICIA CARVALHO DA SILVA" u="1"/>
        <s v="LETICIA COUTINHO ARAUJO" u="1"/>
        <s v="LIANA PAULA FERREIRA DE SOUSA VIANA" u="1"/>
        <s v="LILIANA DE SOUZA SILVA" u="1"/>
        <s v="LINO DA PAZ VIEIRA" u="1"/>
        <s v="LUANA EUGENIA ALBUQUERQUE DE LIMA" u="1"/>
        <s v="LUARA INGRIDE GOMES DA SILVA FREIRE" u="1"/>
        <s v="LUCAS AVEDO SOUSA" u="1"/>
        <s v="LUCAS COHEN SARAIVA" u="1"/>
        <s v="LUCAS COSTA DE OLIVEIRA" u="1"/>
        <s v="LUCAS PESSOA DO CARMO TAVARES DA SILVA" u="1"/>
        <s v="LUCAS PIMENTA BARRETTO" u="1"/>
        <s v="LUCAS SANTOS BRITO" u="1"/>
        <s v="LUCIANO DA PAIXAO FERREIRA" u="1"/>
        <s v="LUCIANO PINTO FERNANDES JUNIOR" u="1"/>
        <s v="LUCIO RICARDO GURJAO WANDERLEY JUNIOR" u="1"/>
        <s v="LUCIVANDO LEITE LAURENTINO" u="1"/>
        <s v="LUIS EDOARDO BEZERRA LOUREIRO" u="1"/>
        <s v="LUIZ FRANKLIN DA SILVA JUNIOR" u="1"/>
        <s v="LUIZ HENRIQUE MARTINS CAMILO" u="1"/>
        <s v="MAIARA CARINE DE LIMA SILVA" u="1"/>
        <s v="MAILON MATEUS ARCANJO DOS ANJOS" u="1"/>
        <s v="MANOEL INACIO DOS SANTOS FILHO" u="1"/>
        <s v="MARCEL CARLOS BARROS DA SILVA" u="1"/>
        <s v="MARCELA BITENCOURT RUFINO MOREIRA" u="1"/>
        <s v="MARCELA SOUZA DA SILVA" u="1"/>
        <s v="MARCELO DE JESUS SANTANA" u="1"/>
        <s v="MARCELO DE LIMA SILVA" u="1"/>
        <s v="MARCELO FERREIRA DA SILVA" u="1"/>
        <s v="MARCELO MOREIRA OLIVEIRA" u="1"/>
        <s v="MARCIA NEYLLA LIMA GOMES" u="1"/>
        <s v="MARCIA REIS MENDES GUEIROS" u="1"/>
        <s v="MARCIO DE ALMEIDA RODRIGUES" u="1"/>
        <s v="MARCIO HENRIQUE DOS SANTOS SOUZA" u="1"/>
        <s v="MARCIO NAZARIO DE OLIVEIRA" u="1"/>
        <s v="MARCIO RODRIGO DE SOUZA CAMPOS" u="1"/>
        <s v="MARCIO JOSE PEREIRA RAMOS" u="1"/>
        <s v="MARCO ANTONIO DE JESUS BONFIM" u="1"/>
        <s v="MARCO AURELIO VAZ DE MORAES" u="1"/>
        <s v="MARCOS BRUNO MENDES PRADO" u="1"/>
        <s v="MARCOS CAMPELO MASCARENHAS" u="1"/>
        <s v="MARCOS FERREIRA DA SILVA JUNIOR" u="1"/>
        <s v="MARCOS LUAN ALVES FONTES" u="1"/>
        <s v="MARCOS VINICIUS SILVA LOURENCO" u="1"/>
        <s v="MARCOS PAULO BATTISTINI" u="1"/>
        <s v="MARIA BEATRIZ DE SOUSA UNIAS" u="1"/>
        <s v="MARIA DO CARMO BARBOZA ALVES" u="1"/>
        <s v="MARIA EDWIGES JORGE" u="1"/>
        <s v="MARIA GESONIZA DE SOUSA" u="1"/>
        <s v="MARIA GIRLANE DE PAULA SOUZA" u="1"/>
        <s v="MARIA ISABEL RIBEIRO FERREIRA" u="1"/>
        <s v="MARIA ZELIA DA SILVA FERREIRA" u="1"/>
        <s v="MARIA ELIZABETE JULIANI" u="1"/>
        <s v="MARIA EDUARDA BARRETO GALDINO" u="1"/>
        <s v="MARIA RAFAELA FERREIRA DE SOUSA" u="1"/>
        <s v="MARIANA DOS SANTOS LIMA" u="1"/>
        <s v="MARIANA ELES" u="1"/>
        <s v="MARINA COELHO OLIVEIRA" u="1"/>
        <s v="MARINA MADELINE DE SOUSA MUNIZ" u="1"/>
        <s v="MARINA COELHO MAIA" u="1"/>
        <s v="MARIO CLEMENTE LOBAO" u="1"/>
        <s v="MARYANE FERREIRA SACRAMENTO" u="1"/>
        <s v="MATEUS IGOR MOTA FEITOSA" u="1"/>
        <s v="MATEUS BEZERRA DE FREITAS" u="1"/>
        <s v="MATHEUS DA SILVA SANTOS" u="1"/>
        <s v="MATHEUS HENRIQUE VIEGAS PIRES" u="1"/>
        <s v="MATHEUS MOREIRA LOPES" u="1"/>
        <s v="MATHEUS REIS DIAS" u="1"/>
        <s v="MATHEUS ROCHA CABRAL" u="1"/>
        <s v="MATHEUS PIRAMO MOURAO" u="1"/>
        <s v="MAURICIO TERZAGHI MARTINEZ" u="1"/>
        <s v="MAURIVAN OLIVEIRA DE CARVALHO" u="1"/>
        <s v="MAXWELLMA FRANCO VIEIRA" u="1"/>
        <s v="MAYCON VINICIUS NARCISO SANTOS" u="1"/>
        <s v="MELISSA CLAUDINO DANTAS MOREIRA" u="1"/>
        <s v="MELISSA MARIA NUNES DE SOUSA" u="1"/>
        <s v="MESSIAS SILVA DE SOUZA" u="1"/>
        <s v="MILENA CONCEICAO DE JESUS" u="1"/>
        <s v="MIRELE OLIVEIRA MATOS" u="1"/>
        <s v="MOISES PEDRO DA SILVA NETO" u="1"/>
        <s v="MONICA MIGUEL CELEBRIN GOMES" u="1"/>
        <s v="MURILO FELIPE RODRIGUES" u="1"/>
        <s v="NAGILA FERNANDES MENDES" u="1"/>
        <s v="NARA ELIZABETH VIANA BATISTA" u="1"/>
        <s v="NATAN FERREIRA DE SOUSA SILVA" u="1"/>
        <s v="NATHALIA FALCAO DE SOUSA" u="1"/>
        <s v="NAYARA ARIANE FARIAS DA SILVA" u="1"/>
        <s v="NAYARA FREITAS DA SILVA" u="1"/>
        <s v="NIELSON HENRIQUE SANTOS MELO DA SILVA" u="1"/>
        <s v="NYCOLE MAYARA ALVES DA SILVA" u="1"/>
        <s v="OSWALDO OLIVEIRA QUINTANILHA" u="1"/>
        <s v="OTAVIO VICTOR LIMA DE ANDRADE" u="1"/>
        <s v="PABLO VINICIUS GONCALVES DA SILVA" u="1"/>
        <s v="PATRICIA THAIS XIMENES FARIAS" u="1"/>
        <s v="PATRICK ALMIR PEREIRA GARCIA" u="1"/>
        <s v="PAUL ALLISON DANTAS LUNA" u="1"/>
        <s v="PAULA ANDREA AMORIM" u="1"/>
        <s v="PAULO DAVI GOMES BATISTA" u="1"/>
        <s v="PAULO FREIRE BEZERRA CAVALCANTI" u="1"/>
        <s v="PAULO ROBERTO DOS SANTOS OLIVEIRA" u="1"/>
        <s v="PAULO ROBERTO PINHEIRO MATOS" u="1"/>
        <s v="PAULO ROGERIO ALVES DE LIMA" u="1"/>
        <s v="PAULO SAVIO GOMES BRAGA" u="1"/>
        <s v="PAULO SERGIO DE OLIVEIRA" u="1"/>
        <s v="PAULO VITOR SILVA DE SOUZA" u="1"/>
        <s v="PEDRO ASSUNCAO DE ABREU" u="1"/>
        <s v="PEDRO LUIS FERREIRA DA COSTA" u="1"/>
        <s v="PEDRO PAULO GUIRRO TARDIVO" u="1"/>
        <s v="RAFAEL CORREIA DOS SANTOS" u="1"/>
        <s v="RAFAEL MAFRA DE ALBUQUERQUE" u="1"/>
        <s v="RAFAEL MARTINS RAPOSO" u="1"/>
        <s v="RAFAEL PEREIRA DOS SANTOS" u="1"/>
        <s v="RAFAEL TOSTA SACRAMENTO" u="1"/>
        <s v="RAFAELA SANTOS DA SILVA RODRIGUES" u="1"/>
        <s v="RAIANE KELLY DE AGUIAR LIMA" u="1"/>
        <s v="RAIMUNDA ANGELICA DA SILVA PEREIRA" u="1"/>
        <s v="RAIZA SANTANA CAIRES" u="1"/>
        <s v="RAMON ARRUDA GONCALVES" u="1"/>
        <s v="RANGEL AMARAL FERREIRA" u="1"/>
        <s v="RAPHAEL AUIP WOLTER LUQUECI" u="1"/>
        <s v="RAQUEL CARVALHO BARROS" u="1"/>
        <s v="RAQUEL DE AZEVEDO OLIVEIRA" u="1"/>
        <s v="RAQUEL MIRANDA RAMOS" u="1"/>
        <s v="RAYSSA DA SILVA COSTA" u="1"/>
        <s v="REJANE FRANCESCHI" u="1"/>
        <s v="RENAILTON DA SILVA SANTANA" u="1"/>
        <s v="RENATA DALZOCHIO CAMPOS" u="1"/>
        <s v="RICARDO AUGUSTO ACCIOLY DA FONSECA JUNIOR" u="1"/>
        <s v="RICARDO HENRIQUE LINS DE JESUS" u="1"/>
        <s v="RICARDO MESQUITA SOUSA" u="1"/>
        <s v="ROBERIO LIMA DA SILVA" u="1"/>
        <s v="ROBERTA MAGNA SOUSA NASCIMENTO" u="1"/>
        <s v="RODRIGO DA SILVA SANTOS" u="1"/>
        <s v="RODRIGO GARCIA DA SILVA" u="1"/>
        <s v="RODRIGO MOREIRA DOS SANTOS FERNANDES" u="1"/>
        <s v="ROGERIO VIEIRA DIAS NETO" u="1"/>
        <s v="ROMANTIESER ARAUJO LOPES" u="1"/>
        <s v="ROMARIO SANTANA DOS SANTOS" u="1"/>
        <s v="ROMULO VIANA" u="1"/>
        <s v="ROSANNA BYANKA FILGUEIRAS HONORIO" u="1"/>
        <s v="RYAN SILVA DE OLIVEIRA" u="1"/>
        <s v="SABRINA RODRIGUES DA SILVA" u="1"/>
        <s v="SAMANTA DO ESPIRITO SANTO VENANCIO DOS SANTOS" u="1"/>
        <s v="SAMILA ALVES DA SILVA" u="1"/>
        <s v="SAMIR SARAIVA MACHADO" u="1"/>
        <s v="SAMUEL DAMASCENO SILVA" u="1"/>
        <s v="SAMUEL PEREIRA DO NASCIMENTO" u="1"/>
        <s v="SANDRIEL GODOI DA SILVA" u="1"/>
        <s v="SARA DA CUNHA MAGALHAES" u="1"/>
        <s v="SARA QUEIROZ SABOIA" u="1"/>
        <s v="SAVIO FERNANDES DA SILVA" u="1"/>
        <s v="SEBASTIAO FRANCO BAYMA NETO" u="1"/>
        <s v="SERGIANA LIMA COSTA CORDEIRO" u="1"/>
        <s v="SERGIO PEREIRA DO ROSARIO JUNIOR" u="1"/>
        <s v="SHAYRON RODRIGUES DA SILVA" u="1"/>
        <s v="SHEILA ROSELANDE DO NASCIMENTO" u="1"/>
        <s v="SIDNEI RAMOS DOS SANTOS" u="1"/>
        <s v="SIDNEY DE ASSIS BRAZ" u="1"/>
        <s v="SILMARA PADILHA DE PAULA" u="1"/>
        <s v="SILVESTRE JUSTINIANO MASAI" u="1"/>
        <s v="SILVIO JOSE COSTA JUNIOR" u="1"/>
        <s v="SUELEN GOMES MARTINS" u="1"/>
        <s v="TACIANA PINHEIRO SILVA" u="1"/>
        <s v="TAISA ALVES DOS SANTOS MAISCK" u="1"/>
        <s v="TALITHA DE MELO RIBEIRO" u="1"/>
        <s v="TATYANE LIMA DA SILVA" u="1"/>
        <s v="TERUMIR DE SOUSA FARIAS MACIEL CYSNE" u="1"/>
        <s v="THAIANE PINHEIRO SILVA DE SOUZA" u="1"/>
        <s v="THAIS MARIA OLIVEIRA SANTOS" u="1"/>
        <s v="THALITA CRISTIANE ALVES SILVA DOS SANTOS" u="1"/>
        <s v="THALYSON LUAN LIMA DA COSTA" u="1"/>
        <s v="THAMIRYS MITHYA VASCONCELOS LIMA" u="1"/>
        <s v="THATIENE SARA BELTRAO MOURA RIBEIRO" u="1"/>
        <s v="THIAGO BEZERRA DA COSTA" u="1"/>
        <s v="THIAGO ROBSON DA ROSA" u="1"/>
        <s v="THIAGO SOARES D EL REI" u="1"/>
        <s v="THIAGO OLIVEIRA TRINDADE" u="1"/>
        <s v="TIAGO FERREIRA DA SILVA" u="1"/>
        <s v="TIAGO RAMOS DE ASSIS" u="1"/>
        <s v="UELENILTON DE SOUZA PENA" u="1"/>
        <s v="UOSHINGTON SILVA DOS SANTOS" u="1"/>
        <s v="VALDOMIR ANTONIO DE ARAUJO JUNIOR" u="1"/>
        <s v="VANESSA CERIS DA CRUZ" u="1"/>
        <s v="VICTOR CAVALCANTE DE MENESES" u="1"/>
        <s v="VICTOR HUGO RODRIGUES MENESES" u="1"/>
        <s v="VICTOR HUGO TANFERE MACHADO DE LIMA" u="1"/>
        <s v="VILANGELA FERREIRA DA SILVA" u="1"/>
        <s v="VINICIUS FERNANDES COSTA" u="1"/>
        <s v="VINICIUS FERREIRA AGUIAR" u="1"/>
        <s v="VINICIUS LANDER CANDIDO MENEZES" u="1"/>
        <s v="VITORIA VANDETE DA SILVA" u="1"/>
        <s v="VIVIANE DE AZEVEDO PEREIRA BARBOSA" u="1"/>
        <s v="VLADIA SOUSA ALVES SANTOS" u="1"/>
        <s v="WAGNER WESLEY VENANCIO DA ROCHA SILVA" u="1"/>
        <s v="WALESKA RODRIGUES DA SILVA" u="1"/>
        <s v="WALTER CORREA DOS SANTOS JUNIOR" u="1"/>
        <s v="WANCLEY BEZERRA DA SILVA" u="1"/>
        <s v="WANDERSON KENNEDY DA COSTA SOUSA" u="1"/>
        <s v="WANESSA MEGURO MARREIRO" u="1"/>
        <s v="WELLINGTON SILVA DE OLIVEIRA" u="1"/>
        <s v="WESLEY MARQUES DOS SANTOS SILVA DELFINO" u="1"/>
        <s v="WESTON VIEIRA DE VASCONCELOS" u="1"/>
        <s v="WEVERTON DE SOUSA MENDONCA" u="1"/>
        <s v="WILLAME MAGNO DE SOUSA GONCALVES" u="1"/>
        <s v="WILLIAM COELHO DA SILVA" u="1"/>
        <s v="WILLIAM HENRIQUE FERNANDES" u="1"/>
        <s v="WILTON COSTA DA SILVA" u="1"/>
        <s v="WILTON GONZAGA VIANA" u="1"/>
        <s v="YANA CAROLINA MELLO LIMA" u="1"/>
        <s v="YASMIN AGUIAR MOREIRA" u="1"/>
        <s v="YURI LEGUISSANO AZEVEDO" u="1"/>
        <s v="YURI BAHIA RIBEIRO" u="1"/>
        <s v="ANA PAULA SANTIAGO" u="1"/>
        <s v="JOICIANE TELES DE JESUS ANTONIO" u="1"/>
        <s v="LARISSA LOAYSE SOARES DE MELO DA ROCHA" u="1"/>
        <s v="ROGINALDO DOS SANTOS" u="1"/>
        <s v="URSULA DOS REIS MARQUES" u="1"/>
        <s v="DANIEL CARNEIRO DE JESUS" u="1"/>
        <s v="GABRIEL VIEIRA PAIVA" u="1"/>
        <s v="LETICIA MOURA OLIVEIRA" u="1"/>
        <s v="STEPHANY SANTOS ALVES DA SILVA" u="1"/>
        <s v="LEANDRO NASCIMENTO DE SOUZA" u="1"/>
        <s v="LUCIANE NUNES DA PAZ" u="1"/>
        <s v="KARINA MACEDO DOS SANTOS CAMPOS" u="1"/>
        <m u="1"/>
        <s v="THAIS MILANI GONCALVES" u="1"/>
        <s v="FERNANDA FREITAS DE OLIVEIRA DA COSTA" u="1"/>
        <s v="JESSICA MARTINS SANTOS VALENTE" u="1"/>
        <s v="JOBERSON CORREIA DE ANDRADE" u="1"/>
        <s v="LIZ ALVES PORTO" u="1"/>
        <s v="TAIS NERY SOUZA GOMES" u="1"/>
        <s v="THALYANE ARAUJO DE SOUZA" u="1"/>
        <s v="LETICIA SOUZA DA SILVA" u="1"/>
        <s v="ANADIR DJALMA SALLES JUNIOR" u="1"/>
        <s v="ANTONIO DANTAS DE AZEVEDO JUNIOR" u="1"/>
        <s v="CAIO CESAR DE OLIVEIRA RODRIGUES" u="1"/>
        <s v="FELIPE NOGUEIRA DE ALMEIDA BONFIM" u="1"/>
        <s v="GIORDANE DA SILVA NASCIMENTO" u="1"/>
        <s v="ITAMAR MENDONCA DE OLIVEIRA" u="1"/>
        <s v="JOSE ADRIANO DE MELLO" u="1"/>
        <s v="LUCAS VUCOVIX FIRMINO" u="1"/>
        <s v="LUCIANA HITOMI KAMIYAMA FELTRIN" u="1"/>
        <s v="LUIZA RAMOS GUIMARAES" u="1"/>
        <s v="MARCIA VILAS BOAS DE MORAIS" u="1"/>
        <s v="MARIA IASMIM PAULO OLIVEIRA" u="1"/>
        <s v="MILENA SOCCOL" u="1"/>
        <s v="THAYANE VICTORIO COSTA CAVALCANTI" u="1"/>
        <s v="WALLISSON SANTIAGO SARAIVA" u="1"/>
        <s v="RODRIGO CORDEIRO DE LIMA" u="1"/>
      </sharedItems>
    </cacheField>
    <cacheField name="CARGO" numFmtId="0">
      <sharedItems/>
    </cacheField>
    <cacheField name="FAMÍLIA DE CARGO" numFmtId="0">
      <sharedItems/>
    </cacheField>
    <cacheField name="CENTRO DE CUSTO" numFmtId="0">
      <sharedItems/>
    </cacheField>
    <cacheField name="UNIDADE" numFmtId="0">
      <sharedItems containsBlank="1" count="549">
        <s v="Unidade_001"/>
        <s v="Unidade_002"/>
        <s v="Unidade_003"/>
        <s v="Unidade_004"/>
        <s v="Unidade_005"/>
        <s v="Unidade_006"/>
        <s v="Unidade_007"/>
        <s v="Unidade_008"/>
        <s v="Unidade_009"/>
        <s v="Unidade_010"/>
        <s v="Unidade_011"/>
        <s v="Unidade_012"/>
        <s v="Unidade_013"/>
        <s v="Unidade_014"/>
        <s v="Unidade_015"/>
        <s v="Unidade_016"/>
        <s v="Unidade_017"/>
        <s v="Unidade_018"/>
        <s v="Unidade_019"/>
        <s v="Unidade_020"/>
        <s v="Unidade_021"/>
        <s v="Unidade_022"/>
        <s v="Unidade_023"/>
        <s v="Unidade_024"/>
        <s v="Unidade_025"/>
        <s v="Unidade_026"/>
        <s v="Unidade_027"/>
        <s v="Unidade_028"/>
        <s v="Unidade_029"/>
        <s v="Unidade_030"/>
        <s v="Unidade_031"/>
        <s v="Unidade_032"/>
        <s v="Unidade_033"/>
        <s v="Unidade_034"/>
        <s v="Unidade_035"/>
        <s v="Unidade_036"/>
        <s v="Unidade_037"/>
        <s v="Unidade_038"/>
        <s v="Unidade_039"/>
        <s v="Unidade_040"/>
        <s v="Unidade_041"/>
        <s v="Unidade_042"/>
        <s v="Unidade_043"/>
        <s v="Unidade_044"/>
        <s v="Unidade_045"/>
        <s v="Unidade_046"/>
        <s v="Unidade_047"/>
        <s v="Unidade_048"/>
        <s v="Unidade_049"/>
        <s v="Unidade_050"/>
        <s v="Unidade_051"/>
        <s v="Unidade_052"/>
        <s v="Unidade_053"/>
        <s v="Unidade_054"/>
        <s v="Unidade_055"/>
        <s v="Unidade_056"/>
        <s v="Unidade_057"/>
        <s v="Unidade_058"/>
        <s v="Unidade_059"/>
        <s v="Unidade_060"/>
        <s v="Unidade_061"/>
        <s v="Unidade_062"/>
        <s v="Unidade_063"/>
        <s v="Unidade_064"/>
        <s v="Unidade_065"/>
        <s v="Unidade_066"/>
        <s v="Unidade_067"/>
        <s v="Unidade_068"/>
        <s v="Unidade_069"/>
        <s v="Unidade_070"/>
        <s v="Unidade_071"/>
        <s v="Unidade_072"/>
        <s v="Unidade_073"/>
        <s v="Unidade_074"/>
        <s v="Unidade_075"/>
        <s v="Unidade_076"/>
        <s v="Unidade_077"/>
        <s v="Unidade_078"/>
        <s v="Unidade_079"/>
        <s v="Unidade_080"/>
        <s v="Unidade_081"/>
        <s v="Unidade_082"/>
        <s v="Unidade_083"/>
        <s v="Unidade_084"/>
        <s v="Unidade_085"/>
        <s v="Unidade_086"/>
        <s v="Unidade_087"/>
        <s v="Unidade_088"/>
        <s v="Unidade_089"/>
        <s v="Unidade_090"/>
        <s v="Unidade_091"/>
        <s v="Unidade_092"/>
        <s v="Unidade_093"/>
        <s v="Unidade_094"/>
        <s v="Unidade_095"/>
        <s v="Unidade_096"/>
        <s v="Unidade_097"/>
        <s v="Unidade_098"/>
        <s v="Unidade_099"/>
        <s v="Unidade_100"/>
        <s v="Unidade_101"/>
        <s v="Unidade_102"/>
        <s v="Unidade_103"/>
        <s v="Unidade_104"/>
        <s v="Unidade_105"/>
        <s v="Unidade_106"/>
        <s v="Unidade_107"/>
        <s v="Unidade_108"/>
        <s v="Unidade_109"/>
        <s v="Unidade_110"/>
        <s v="Unidade_111"/>
        <s v="Unidade_112"/>
        <s v="Unidade_113"/>
        <s v="Unidade_114"/>
        <s v="Unidade_115"/>
        <s v="Unidade_116"/>
        <s v="Unidade_117"/>
        <s v="Unidade_118"/>
        <s v="Unidade_119"/>
        <s v="Unidade_120"/>
        <s v="Unidade_121"/>
        <s v="Unidade_122"/>
        <s v="Unidade_123"/>
        <s v="Unidade_124"/>
        <s v="Unidade_125"/>
        <s v="Unidade_126"/>
        <s v="Unidade_127"/>
        <s v="Unidade_128"/>
        <s v="Unidade_129"/>
        <s v="Unidade_130"/>
        <s v="Unidade_131"/>
        <s v="Unidade_132"/>
        <s v="Unidade_133"/>
        <s v="Unidade_134"/>
        <s v="Unidade_135"/>
        <s v="Unidade_136"/>
        <s v="Unidade_137"/>
        <s v="Unidade_138"/>
        <s v="Unidade_139"/>
        <s v="Unidade_140"/>
        <s v="Unidade_141"/>
        <s v="Unidade_142"/>
        <s v="Unidade_143"/>
        <s v="Unidade_144"/>
        <s v="Unidade_145"/>
        <s v="Unidade_146"/>
        <s v="Unidade_147"/>
        <s v="Unidade_148"/>
        <s v="Unidade_149"/>
        <s v="Unidade_150"/>
        <s v="Unidade_151"/>
        <s v="Unidade_152"/>
        <s v="Unidade_153"/>
        <s v="Unidade_154"/>
        <s v="Unidade_155"/>
        <s v="Unidade_156"/>
        <s v="Unidade_157"/>
        <s v="Unidade_158"/>
        <s v="Unidade_159"/>
        <s v="Unidade_160"/>
        <s v="Unidade_161"/>
        <s v="Unidade_162"/>
        <s v="Unidade_163"/>
        <s v="Unidade_164"/>
        <s v="Unidade_165"/>
        <s v="Unidade_166"/>
        <s v="Unidade_167"/>
        <s v="Unidade_168"/>
        <s v="Unidade_169"/>
        <s v="Unidade_170"/>
        <s v="Unidade_171"/>
        <s v="Unidade_172"/>
        <s v="Unidade_173"/>
        <s v="Unidade_174"/>
        <s v="Unidade_175"/>
        <s v="Unidade_176"/>
        <s v="Unidade_177"/>
        <s v="Unidade_178"/>
        <s v="Unidade_179"/>
        <s v="Unidade_180"/>
        <s v="Unidade_181"/>
        <s v="Unidade_182"/>
        <s v="Unidade_183"/>
        <s v="Unidade_184"/>
        <s v="Unidade_185"/>
        <s v="Unidade_186"/>
        <s v="Unidade_187"/>
        <s v="Unidade_188"/>
        <s v="Unidade_189"/>
        <s v="Unidade_190"/>
        <s v="Unidade_191"/>
        <s v="Unidade_192"/>
        <s v="Unidade_193"/>
        <s v="Unidade_194"/>
        <s v="Unidade_195"/>
        <s v="Unidade_196"/>
        <s v="Unidade_197"/>
        <s v="Unidade_198"/>
        <s v="Unidade_199"/>
        <s v="Unidade_200"/>
        <s v="Unidade_201"/>
        <s v="Unidade_202"/>
        <s v="Unidade_203"/>
        <s v="Unidade_204"/>
        <s v="Unidade_205"/>
        <s v="Unidade_206"/>
        <s v="Unidade_207"/>
        <s v="Unidade_208"/>
        <s v="Unidade_209"/>
        <s v="Unidade_210"/>
        <s v="Unidade_211"/>
        <s v="Unidade_212"/>
        <s v="Unidade_213"/>
        <s v="Unidade_214"/>
        <s v="Unidade_215"/>
        <s v="Unidade_216"/>
        <s v="Unidade_217"/>
        <s v="Unidade_218"/>
        <s v="Unidade_219"/>
        <s v="Unidade_220"/>
        <s v="Unidade_221"/>
        <s v="Unidade_222"/>
        <s v="Unidade_223"/>
        <s v="Unidade_224"/>
        <s v="Unidade_225"/>
        <s v="Unidade_226"/>
        <s v="Unidade_227"/>
        <s v="Unidade_228"/>
        <s v="Unidade_229"/>
        <s v="Unidade_230"/>
        <s v="Unidade_231"/>
        <s v="Unidade_232"/>
        <s v="Unidade_233"/>
        <s v="Unidade_234"/>
        <s v="Unidade_235"/>
        <s v="Unidade_236"/>
        <s v="Unidade_237"/>
        <s v="Unidade_238"/>
        <s v="Unidade_239"/>
        <s v="Unidade_240"/>
        <s v="Unidade_241"/>
        <s v="Unidade_242"/>
        <s v="Unidade_243"/>
        <s v="Unidade_244"/>
        <s v="Unidade_245"/>
        <s v="Unidade_246"/>
        <s v="Unidade_247"/>
        <s v="Unidade_248"/>
        <s v="Unidade_249"/>
        <s v="Unidade_250"/>
        <s v="Unidade_251"/>
        <s v="Unidade_252"/>
        <s v="Unidade_253"/>
        <s v="Unidade_254"/>
        <s v="Unidade_255"/>
        <s v="Unidade_256"/>
        <s v="Unidade_257"/>
        <s v="Unidade_258"/>
        <s v="Unidade_259"/>
        <s v="Unidade_260"/>
        <s v="Unidade_261"/>
        <s v="Unidade_262"/>
        <s v="Unidade_263"/>
        <s v="Unidade_264"/>
        <s v="Unidade_265"/>
        <s v="Unidade_266"/>
        <s v="Unidade_267"/>
        <s v="Unidade_268"/>
        <s v="Unidade_269"/>
        <s v="Unidade_270"/>
        <s v="Unidade_271"/>
        <s v="Unidade_272"/>
        <s v="Unidade_273"/>
        <s v="Unidade_274"/>
        <s v="Unidade_275"/>
        <s v="Unidade_276"/>
        <s v="Unidade_277"/>
        <s v="Unidade_278"/>
        <s v="Unidade_279"/>
        <s v="Unidade_280"/>
        <s v="Unidade_281"/>
        <s v="Unidade_282"/>
        <s v="Unidade_283"/>
        <s v="Unidade_284"/>
        <s v="Unidade_285"/>
        <s v="Unidade_286"/>
        <s v="Unidade_287"/>
        <s v="Unidade_288"/>
        <s v="Unidade_289"/>
        <s v="Unidade_290"/>
        <s v="Unidade_291"/>
        <s v="Unidade_292"/>
        <s v="Unidade_293"/>
        <s v="Unidade_294"/>
        <s v="Unidade_295"/>
        <s v="Unidade_296"/>
        <s v="Unidade_297"/>
        <s v="Unidade_298"/>
        <s v="Unidade_299"/>
        <s v="Unidade_300"/>
        <s v="Unidade_301"/>
        <s v="Unidade_302"/>
        <s v="Unidade_303"/>
        <s v="Unidade_304"/>
        <s v="Unidade_305"/>
        <s v="Unidade_306"/>
        <s v="Unidade_307"/>
        <s v="Unidade_308"/>
        <s v="Unidade_309"/>
        <s v="Unidade_310"/>
        <s v="Unidade_311"/>
        <s v="Unidade_312"/>
        <s v="Unidade_313"/>
        <s v="Unidade_314"/>
        <s v="Unidade_315"/>
        <s v="Unidade_316"/>
        <s v="Unidade_317"/>
        <s v="Unidade_318"/>
        <s v="Unidade_319"/>
        <s v="Unidade_320"/>
        <s v="Unidade_321"/>
        <s v="Unidade_322"/>
        <s v="Unidade_323"/>
        <s v="Unidade_324"/>
        <s v="Unidade_325"/>
        <s v="Unidade_326"/>
        <s v="Unidade_327"/>
        <s v="Unidade_328"/>
        <s v="Unidade_329"/>
        <s v="Unidade_330"/>
        <s v="Unidade_331"/>
        <s v="Unidade_332"/>
        <s v="Unidade_333"/>
        <s v="Unidade_334"/>
        <s v="Unidade_335"/>
        <s v="Unidade_336"/>
        <s v="Unidade_337"/>
        <s v="Unidade_338"/>
        <s v="Unidade_339"/>
        <s v="Unidade_340"/>
        <s v="Unidade_341"/>
        <s v="Unidade_342"/>
        <s v="Unidade_343"/>
        <s v="Unidade_344"/>
        <s v="Unidade_345"/>
        <s v="Unidade_346"/>
        <s v="Unidade_347"/>
        <s v="Unidade_348"/>
        <s v="Unidade_349"/>
        <s v="Unidade_350"/>
        <s v="Unidade_351"/>
        <s v="Unidade_352"/>
        <s v="Unidade_353"/>
        <s v="Unidade_354"/>
        <s v="Unidade_355"/>
        <s v="Unidade_356"/>
        <s v="Unidade_357"/>
        <s v="Unidade_358"/>
        <s v="Unidade_359"/>
        <s v="Unidade_360"/>
        <s v="Unidade_361"/>
        <s v="Unidade_362"/>
        <s v="Unidade_363"/>
        <s v="Unidade_364"/>
        <s v="Unidade_365"/>
        <s v="Unidade_366"/>
        <s v="Unidade_367"/>
        <s v="Unidade_368"/>
        <s v="Unidade_369"/>
        <s v="Unidade_370"/>
        <s v="Unidade_371"/>
        <s v="Unidade_372"/>
        <s v="Unidade_373"/>
        <s v="Unidade_374"/>
        <s v="Unidade_375"/>
        <s v="Unidade_376"/>
        <s v="Unidade_377"/>
        <s v="Unidade_378"/>
        <s v="Unidade_379"/>
        <s v="Unidade_380"/>
        <s v="Unidade_381"/>
        <s v="Unidade_382"/>
        <s v="Unidade_383"/>
        <s v="Unidade_384"/>
        <s v="Unidade_385"/>
        <s v="Unidade_386"/>
        <s v="Unidade_387"/>
        <s v="Unidade_388"/>
        <s v="Unidade_389"/>
        <s v="Unidade_390"/>
        <s v="Unidade_391"/>
        <s v="Unidade_392"/>
        <s v="Unidade_393"/>
        <s v="Unidade_394"/>
        <s v="Unidade_395"/>
        <s v="Unidade_396"/>
        <s v="Unidade_397"/>
        <s v="Unidade_398"/>
        <s v="Unidade_399"/>
        <s v="Unidade_400"/>
        <s v="Unidade_401"/>
        <s v="Unidade_402"/>
        <s v="Unidade_403"/>
        <s v="Unidade_404"/>
        <s v="Unidade_405"/>
        <s v="Unidade_406"/>
        <s v="Unidade_407"/>
        <s v="Unidade_408"/>
        <s v="Unidade_409"/>
        <s v="Unidade_410"/>
        <s v="Unidade_411"/>
        <s v="Unidade_412"/>
        <s v="Unidade_413"/>
        <s v="Unidade_414"/>
        <s v="Unidade_415"/>
        <s v="Unidade_416"/>
        <s v="Unidade_417"/>
        <s v="Unidade_418"/>
        <s v="Unidade_419"/>
        <s v="Unidade_420"/>
        <s v="Unidade_421"/>
        <s v="Unidade_422"/>
        <s v="Unidade_423"/>
        <s v="Unidade_424"/>
        <s v="Unidade_425"/>
        <s v="Unidade_426"/>
        <s v="Unidade_427"/>
        <s v="Unidade_428"/>
        <s v="Unidade_429"/>
        <s v="Unidade_430"/>
        <s v="Unidade_431"/>
        <s v="Unidade_432"/>
        <s v="Unidade_433"/>
        <s v="Unidade_434"/>
        <s v="Unidade_435"/>
        <s v="Unidade_436"/>
        <s v="Unidade_437"/>
        <s v="Unidade_438"/>
        <s v="Unidade_439"/>
        <s v="Unidade_440"/>
        <s v="Unidade_441"/>
        <s v="Unidade_442"/>
        <s v="Unidade_443"/>
        <s v="Unidade_444"/>
        <s v="Unidade_445"/>
        <s v="Unidade_446"/>
        <s v="Unidade_447"/>
        <s v="Unidade_448"/>
        <s v="Unidade_449"/>
        <s v="Unidade_450"/>
        <s v="Unidade_451"/>
        <s v="Unidade_452"/>
        <s v="Unidade_453"/>
        <s v="Unidade_454"/>
        <s v="Unidade_455"/>
        <s v="Unidade_456"/>
        <s v="Unidade_457"/>
        <s v="Unidade_458"/>
        <s v="Unidade_459"/>
        <s v="Unidade_460"/>
        <s v="Unidade_461"/>
        <s v="Unidade_462"/>
        <s v="Unidade_463"/>
        <s v="Unidade_464"/>
        <s v="Unidade_465"/>
        <s v="Unidade_466"/>
        <s v="Unidade_467"/>
        <s v="Unidade_468"/>
        <s v="Unidade_469"/>
        <s v="Unidade_470"/>
        <s v="Unidade_471"/>
        <s v="Unidade_472"/>
        <s v="Unidade_473"/>
        <s v="Unidade_474"/>
        <s v="Unidade_475"/>
        <s v="Unidade_476"/>
        <s v="Unidade_477"/>
        <s v="Unidade_478"/>
        <s v="Unidade_479"/>
        <s v="Unidade_480"/>
        <s v="Unidade_481"/>
        <s v="Unidade_482"/>
        <s v="Unidade_483"/>
        <s v="Unidade_484"/>
        <s v="Unidade_485"/>
        <s v="Unidade_486"/>
        <s v="Unidade_487"/>
        <s v="Unidade_488"/>
        <s v="Unidade_489"/>
        <s v="Unidade_490"/>
        <s v="Unidade_491"/>
        <s v="Unidade_492"/>
        <s v="Unidade_493"/>
        <s v="Unidade_494"/>
        <s v="Unidade_495"/>
        <s v="Unidade_496"/>
        <s v="Unidade_497"/>
        <s v="Unidade_498"/>
        <s v="Unidade_499"/>
        <s v="Unidade_500"/>
        <s v="Unidade_501"/>
        <s v="Unidade_502"/>
        <s v="Unidade_503"/>
        <s v="Unidade_504"/>
        <s v="Unidade_505"/>
        <s v="Unidade_506"/>
        <s v="Unidade_507"/>
        <s v="Unidade_508"/>
        <s v="Unidade_509"/>
        <s v="Unidade_510"/>
        <s v="Unidade_511"/>
        <s v="Unidade_512"/>
        <s v="Unidade_513"/>
        <s v="Unidade_514"/>
        <s v="Unidade_515"/>
        <s v="Unidade_516"/>
        <s v="Unidade_517"/>
        <s v="FABRICA FORTALEZA" u="1"/>
        <s v="JASMINE" u="1"/>
        <s v="GMA" u="1"/>
        <s v="JABOATAO DOS GUARARAPES" u="1"/>
        <s v="MADUREIRA" u="1"/>
        <s v="GMP" u="1"/>
        <s v="BENTO GONCALVES" u="1"/>
        <s v="BERRINI" u="1"/>
        <s v="SAO CAETANO DO SUL" u="1"/>
        <s v="MOINHO DIAS BRANCO" u="1"/>
        <s v="SAO LUIS" u="1"/>
        <s v="VIANA" u="1"/>
        <s v="GMT" u="1"/>
        <s v="GME" u="1"/>
        <s v="CONTAGEM" u="1"/>
        <s v="SAO PAULO" u="1"/>
        <s v="MARACANAU" u="1"/>
        <s v="MACEIO" u="1"/>
        <s v="TERESINA" u="1"/>
        <s v="PINHAIS" u="1"/>
        <s v="JABOATAO" u="1"/>
        <s v="QUEIMADOS" u="1"/>
        <s v="CRATO" u="1"/>
        <s v="BELEM" u="1"/>
        <s v="JOAO PESSOA" u="1"/>
        <s v="MANAUS" u="1"/>
        <s v="BRASILIA" u="1"/>
        <s v="ARACAJU" u="1"/>
        <s v="TIMON" u="1"/>
        <s v="MOINHO PARANA" u="1"/>
        <s v="LENCOIS PAULISTA" u="1"/>
        <m u="1"/>
      </sharedItems>
    </cacheField>
    <cacheField name="ESTADO" numFmtId="0">
      <sharedItems containsBlank="1" count="21">
        <s v="CEARA"/>
        <s v="JASMINE"/>
        <s v="BAHIA"/>
        <s v="PERNAMBUCO"/>
        <s v="RIO DE JANEIRO"/>
        <s v="RIO GRANDE DO NORTE"/>
        <s v="RIO GRANDE DO SUL"/>
        <s v="SAO PAULO"/>
        <s v="MARANHAO"/>
        <s v="ESPIRITO SANTO"/>
        <s v="PARAIBA"/>
        <s v="MINAS GERAIS"/>
        <s v="ALAGOAS"/>
        <s v="PIAUI"/>
        <s v="PARANA"/>
        <s v="PARA"/>
        <s v="AMAZONAS"/>
        <s v="DISTRITO FEDERAL"/>
        <s v="SERGIPE"/>
        <s v="PARANÁ" u="1"/>
        <m u="1"/>
      </sharedItems>
    </cacheField>
    <cacheField name="GERÊNCIA CORPORATIVA" numFmtId="0">
      <sharedItems containsBlank="1" count="6">
        <s v="GERÊNCIA NACIONAL DE DISTRIBUIÇÃO"/>
        <s v="GERÊNCIA EXECUTIVA DE PLANEJAMENTO INTEGRADO"/>
        <s v="GERÊNCIA CORPORATIVA DE CUSTOMER SERVICE"/>
        <s v="GERÊNCIA CORPORATIVA DE LOGÍSTICA E EXCELÊNCIA"/>
        <s v="GERÊNCIA DE CUSTOS E ORÇAMENTO LOGÍSTICA"/>
        <m u="1"/>
      </sharedItems>
    </cacheField>
    <cacheField name="LIDERANÇA CORPORATIVA" numFmtId="0">
      <sharedItems containsBlank="1" count="523">
        <s v="Líder_Corp_001"/>
        <s v="Líder_Corp_002"/>
        <s v="Líder_Corp_003"/>
        <s v="Líder_Corp_004"/>
        <s v="Líder_Corp_005"/>
        <s v="Líder_Corp_006"/>
        <s v="Líder_Corp_007"/>
        <s v="Líder_Corp_008"/>
        <s v="Líder_Corp_009"/>
        <s v="Líder_Corp_010"/>
        <s v="Líder_Corp_011"/>
        <s v="Líder_Corp_012"/>
        <s v="Líder_Corp_013"/>
        <s v="Líder_Corp_014"/>
        <s v="Líder_Corp_015"/>
        <s v="Líder_Corp_016"/>
        <s v="Líder_Corp_017"/>
        <s v="Líder_Corp_018"/>
        <s v="Líder_Corp_019"/>
        <s v="Líder_Corp_020"/>
        <s v="Líder_Corp_021"/>
        <s v="Líder_Corp_022"/>
        <s v="Líder_Corp_023"/>
        <s v="Líder_Corp_024"/>
        <s v="Líder_Corp_025"/>
        <s v="Líder_Corp_026"/>
        <s v="Líder_Corp_027"/>
        <s v="Líder_Corp_028"/>
        <s v="Líder_Corp_029"/>
        <s v="Líder_Corp_030"/>
        <s v="Líder_Corp_031"/>
        <s v="Líder_Corp_032"/>
        <s v="Líder_Corp_033"/>
        <s v="Líder_Corp_034"/>
        <s v="Líder_Corp_035"/>
        <s v="Líder_Corp_036"/>
        <s v="Líder_Corp_037"/>
        <s v="Líder_Corp_038"/>
        <s v="Líder_Corp_039"/>
        <s v="Líder_Corp_040"/>
        <s v="Líder_Corp_041"/>
        <s v="Líder_Corp_042"/>
        <s v="Líder_Corp_043"/>
        <s v="Líder_Corp_044"/>
        <s v="Líder_Corp_045"/>
        <s v="Líder_Corp_046"/>
        <s v="Líder_Corp_047"/>
        <s v="Líder_Corp_048"/>
        <s v="Líder_Corp_049"/>
        <s v="Líder_Corp_050"/>
        <s v="Líder_Corp_051"/>
        <s v="Líder_Corp_052"/>
        <s v="Líder_Corp_053"/>
        <s v="Líder_Corp_054"/>
        <s v="Líder_Corp_055"/>
        <s v="Líder_Corp_056"/>
        <s v="Líder_Corp_057"/>
        <s v="Líder_Corp_058"/>
        <s v="Líder_Corp_059"/>
        <s v="Líder_Corp_060"/>
        <s v="Líder_Corp_061"/>
        <s v="Líder_Corp_062"/>
        <s v="Líder_Corp_063"/>
        <s v="Líder_Corp_064"/>
        <s v="Líder_Corp_065"/>
        <s v="Líder_Corp_066"/>
        <s v="Líder_Corp_067"/>
        <s v="Líder_Corp_068"/>
        <s v="Líder_Corp_069"/>
        <s v="Líder_Corp_070"/>
        <s v="Líder_Corp_071"/>
        <s v="Líder_Corp_072"/>
        <s v="Líder_Corp_073"/>
        <s v="Líder_Corp_074"/>
        <s v="Líder_Corp_075"/>
        <s v="Líder_Corp_076"/>
        <s v="Líder_Corp_077"/>
        <s v="Líder_Corp_078"/>
        <s v="Líder_Corp_079"/>
        <s v="Líder_Corp_080"/>
        <s v="Líder_Corp_081"/>
        <s v="Líder_Corp_082"/>
        <s v="Líder_Corp_083"/>
        <s v="Líder_Corp_084"/>
        <s v="Líder_Corp_085"/>
        <s v="Líder_Corp_086"/>
        <s v="Líder_Corp_087"/>
        <s v="Líder_Corp_088"/>
        <s v="Líder_Corp_089"/>
        <s v="Líder_Corp_090"/>
        <s v="Líder_Corp_091"/>
        <s v="Líder_Corp_092"/>
        <s v="Líder_Corp_093"/>
        <s v="Líder_Corp_094"/>
        <s v="Líder_Corp_095"/>
        <s v="Líder_Corp_096"/>
        <s v="Líder_Corp_097"/>
        <s v="Líder_Corp_098"/>
        <s v="Líder_Corp_099"/>
        <s v="Líder_Corp_100"/>
        <s v="Líder_Corp_101"/>
        <s v="Líder_Corp_102"/>
        <s v="Líder_Corp_103"/>
        <s v="Líder_Corp_104"/>
        <s v="Líder_Corp_105"/>
        <s v="Líder_Corp_106"/>
        <s v="Líder_Corp_107"/>
        <s v="Líder_Corp_108"/>
        <s v="Líder_Corp_109"/>
        <s v="Líder_Corp_110"/>
        <s v="Líder_Corp_111"/>
        <s v="Líder_Corp_112"/>
        <s v="Líder_Corp_113"/>
        <s v="Líder_Corp_114"/>
        <s v="Líder_Corp_115"/>
        <s v="Líder_Corp_116"/>
        <s v="Líder_Corp_117"/>
        <s v="Líder_Corp_118"/>
        <s v="Líder_Corp_119"/>
        <s v="Líder_Corp_120"/>
        <s v="Líder_Corp_121"/>
        <s v="Líder_Corp_122"/>
        <s v="Líder_Corp_123"/>
        <s v="Líder_Corp_124"/>
        <s v="Líder_Corp_125"/>
        <s v="Líder_Corp_126"/>
        <s v="Líder_Corp_127"/>
        <s v="Líder_Corp_128"/>
        <s v="Líder_Corp_129"/>
        <s v="Líder_Corp_130"/>
        <s v="Líder_Corp_131"/>
        <s v="Líder_Corp_132"/>
        <s v="Líder_Corp_133"/>
        <s v="Líder_Corp_134"/>
        <s v="Líder_Corp_135"/>
        <s v="Líder_Corp_136"/>
        <s v="Líder_Corp_137"/>
        <s v="Líder_Corp_138"/>
        <s v="Líder_Corp_139"/>
        <s v="Líder_Corp_140"/>
        <s v="Líder_Corp_141"/>
        <s v="Líder_Corp_142"/>
        <s v="Líder_Corp_143"/>
        <s v="Líder_Corp_144"/>
        <s v="Líder_Corp_145"/>
        <s v="Líder_Corp_146"/>
        <s v="Líder_Corp_147"/>
        <s v="Líder_Corp_148"/>
        <s v="Líder_Corp_149"/>
        <s v="Líder_Corp_150"/>
        <s v="Líder_Corp_151"/>
        <s v="Líder_Corp_152"/>
        <s v="Líder_Corp_153"/>
        <s v="Líder_Corp_154"/>
        <s v="Líder_Corp_155"/>
        <s v="Líder_Corp_156"/>
        <s v="Líder_Corp_157"/>
        <s v="Líder_Corp_158"/>
        <s v="Líder_Corp_159"/>
        <s v="Líder_Corp_160"/>
        <s v="Líder_Corp_161"/>
        <s v="Líder_Corp_162"/>
        <s v="Líder_Corp_163"/>
        <s v="Líder_Corp_164"/>
        <s v="Líder_Corp_165"/>
        <s v="Líder_Corp_166"/>
        <s v="Líder_Corp_167"/>
        <s v="Líder_Corp_168"/>
        <s v="Líder_Corp_169"/>
        <s v="Líder_Corp_170"/>
        <s v="Líder_Corp_171"/>
        <s v="Líder_Corp_172"/>
        <s v="Líder_Corp_173"/>
        <s v="Líder_Corp_174"/>
        <s v="Líder_Corp_175"/>
        <s v="Líder_Corp_176"/>
        <s v="Líder_Corp_177"/>
        <s v="Líder_Corp_178"/>
        <s v="Líder_Corp_179"/>
        <s v="Líder_Corp_180"/>
        <s v="Líder_Corp_181"/>
        <s v="Líder_Corp_182"/>
        <s v="Líder_Corp_183"/>
        <s v="Líder_Corp_184"/>
        <s v="Líder_Corp_185"/>
        <s v="Líder_Corp_186"/>
        <s v="Líder_Corp_187"/>
        <s v="Líder_Corp_188"/>
        <s v="Líder_Corp_189"/>
        <s v="Líder_Corp_190"/>
        <s v="Líder_Corp_191"/>
        <s v="Líder_Corp_192"/>
        <s v="Líder_Corp_193"/>
        <s v="Líder_Corp_194"/>
        <s v="Líder_Corp_195"/>
        <s v="Líder_Corp_196"/>
        <s v="Líder_Corp_197"/>
        <s v="Líder_Corp_198"/>
        <s v="Líder_Corp_199"/>
        <s v="Líder_Corp_200"/>
        <s v="Líder_Corp_201"/>
        <s v="Líder_Corp_202"/>
        <s v="Líder_Corp_203"/>
        <s v="Líder_Corp_204"/>
        <s v="Líder_Corp_205"/>
        <s v="Líder_Corp_206"/>
        <s v="Líder_Corp_207"/>
        <s v="Líder_Corp_208"/>
        <s v="Líder_Corp_209"/>
        <s v="Líder_Corp_210"/>
        <s v="Líder_Corp_211"/>
        <s v="Líder_Corp_212"/>
        <s v="Líder_Corp_213"/>
        <s v="Líder_Corp_214"/>
        <s v="Líder_Corp_215"/>
        <s v="Líder_Corp_216"/>
        <s v="Líder_Corp_217"/>
        <s v="Líder_Corp_218"/>
        <s v="Líder_Corp_219"/>
        <s v="Líder_Corp_220"/>
        <s v="Líder_Corp_221"/>
        <s v="Líder_Corp_222"/>
        <s v="Líder_Corp_223"/>
        <s v="Líder_Corp_224"/>
        <s v="Líder_Corp_225"/>
        <s v="Líder_Corp_226"/>
        <s v="Líder_Corp_227"/>
        <s v="Líder_Corp_228"/>
        <s v="Líder_Corp_229"/>
        <s v="Líder_Corp_230"/>
        <s v="Líder_Corp_231"/>
        <s v="Líder_Corp_232"/>
        <s v="Líder_Corp_233"/>
        <s v="Líder_Corp_234"/>
        <s v="Líder_Corp_235"/>
        <s v="Líder_Corp_236"/>
        <s v="Líder_Corp_237"/>
        <s v="Líder_Corp_238"/>
        <s v="Líder_Corp_239"/>
        <s v="Líder_Corp_240"/>
        <s v="Líder_Corp_241"/>
        <s v="Líder_Corp_242"/>
        <s v="Líder_Corp_243"/>
        <s v="Líder_Corp_244"/>
        <s v="Líder_Corp_245"/>
        <s v="Líder_Corp_246"/>
        <s v="Líder_Corp_247"/>
        <s v="Líder_Corp_248"/>
        <s v="Líder_Corp_249"/>
        <s v="Líder_Corp_250"/>
        <s v="Líder_Corp_251"/>
        <s v="Líder_Corp_252"/>
        <s v="Líder_Corp_253"/>
        <s v="Líder_Corp_254"/>
        <s v="Líder_Corp_255"/>
        <s v="Líder_Corp_256"/>
        <s v="Líder_Corp_257"/>
        <s v="Líder_Corp_258"/>
        <s v="Líder_Corp_259"/>
        <s v="Líder_Corp_260"/>
        <s v="Líder_Corp_261"/>
        <s v="Líder_Corp_262"/>
        <s v="Líder_Corp_263"/>
        <s v="Líder_Corp_264"/>
        <s v="Líder_Corp_265"/>
        <s v="Líder_Corp_266"/>
        <s v="Líder_Corp_267"/>
        <s v="Líder_Corp_268"/>
        <s v="Líder_Corp_269"/>
        <s v="Líder_Corp_270"/>
        <s v="Líder_Corp_271"/>
        <s v="Líder_Corp_272"/>
        <s v="Líder_Corp_273"/>
        <s v="Líder_Corp_274"/>
        <s v="Líder_Corp_275"/>
        <s v="Líder_Corp_276"/>
        <s v="Líder_Corp_277"/>
        <s v="Líder_Corp_278"/>
        <s v="Líder_Corp_279"/>
        <s v="Líder_Corp_280"/>
        <s v="Líder_Corp_281"/>
        <s v="Líder_Corp_282"/>
        <s v="Líder_Corp_283"/>
        <s v="Líder_Corp_284"/>
        <s v="Líder_Corp_285"/>
        <s v="Líder_Corp_286"/>
        <s v="Líder_Corp_287"/>
        <s v="Líder_Corp_288"/>
        <s v="Líder_Corp_289"/>
        <s v="Líder_Corp_290"/>
        <s v="Líder_Corp_291"/>
        <s v="Líder_Corp_292"/>
        <s v="Líder_Corp_293"/>
        <s v="Líder_Corp_294"/>
        <s v="Líder_Corp_295"/>
        <s v="Líder_Corp_296"/>
        <s v="Líder_Corp_297"/>
        <s v="Líder_Corp_298"/>
        <s v="Líder_Corp_299"/>
        <s v="Líder_Corp_300"/>
        <s v="Líder_Corp_301"/>
        <s v="Líder_Corp_302"/>
        <s v="Líder_Corp_303"/>
        <s v="Líder_Corp_304"/>
        <s v="Líder_Corp_305"/>
        <s v="Líder_Corp_306"/>
        <s v="Líder_Corp_307"/>
        <s v="Líder_Corp_308"/>
        <s v="Líder_Corp_309"/>
        <s v="Líder_Corp_310"/>
        <s v="Líder_Corp_311"/>
        <s v="Líder_Corp_312"/>
        <s v="Líder_Corp_313"/>
        <s v="Líder_Corp_314"/>
        <s v="Líder_Corp_315"/>
        <s v="Líder_Corp_316"/>
        <s v="Líder_Corp_317"/>
        <s v="Líder_Corp_318"/>
        <s v="Líder_Corp_319"/>
        <s v="Líder_Corp_320"/>
        <s v="Líder_Corp_321"/>
        <s v="Líder_Corp_322"/>
        <s v="Líder_Corp_323"/>
        <s v="Líder_Corp_324"/>
        <s v="Líder_Corp_325"/>
        <s v="Líder_Corp_326"/>
        <s v="Líder_Corp_327"/>
        <s v="Líder_Corp_328"/>
        <s v="Líder_Corp_329"/>
        <s v="Líder_Corp_330"/>
        <s v="Líder_Corp_331"/>
        <s v="Líder_Corp_332"/>
        <s v="Líder_Corp_333"/>
        <s v="Líder_Corp_334"/>
        <s v="Líder_Corp_335"/>
        <s v="Líder_Corp_336"/>
        <s v="Líder_Corp_337"/>
        <s v="Líder_Corp_338"/>
        <s v="Líder_Corp_339"/>
        <s v="Líder_Corp_340"/>
        <s v="Líder_Corp_341"/>
        <s v="Líder_Corp_342"/>
        <s v="Líder_Corp_343"/>
        <s v="Líder_Corp_344"/>
        <s v="Líder_Corp_345"/>
        <s v="Líder_Corp_346"/>
        <s v="Líder_Corp_347"/>
        <s v="Líder_Corp_348"/>
        <s v="Líder_Corp_349"/>
        <s v="Líder_Corp_350"/>
        <s v="Líder_Corp_351"/>
        <s v="Líder_Corp_352"/>
        <s v="Líder_Corp_353"/>
        <s v="Líder_Corp_354"/>
        <s v="Líder_Corp_355"/>
        <s v="Líder_Corp_356"/>
        <s v="Líder_Corp_357"/>
        <s v="Líder_Corp_358"/>
        <s v="Líder_Corp_359"/>
        <s v="Líder_Corp_360"/>
        <s v="Líder_Corp_361"/>
        <s v="Líder_Corp_362"/>
        <s v="Líder_Corp_363"/>
        <s v="Líder_Corp_364"/>
        <s v="Líder_Corp_365"/>
        <s v="Líder_Corp_366"/>
        <s v="Líder_Corp_367"/>
        <s v="Líder_Corp_368"/>
        <s v="Líder_Corp_369"/>
        <s v="Líder_Corp_370"/>
        <s v="Líder_Corp_371"/>
        <s v="Líder_Corp_372"/>
        <s v="Líder_Corp_373"/>
        <s v="Líder_Corp_374"/>
        <s v="Líder_Corp_375"/>
        <s v="Líder_Corp_376"/>
        <s v="Líder_Corp_377"/>
        <s v="Líder_Corp_378"/>
        <s v="Líder_Corp_379"/>
        <s v="Líder_Corp_380"/>
        <s v="Líder_Corp_381"/>
        <s v="Líder_Corp_382"/>
        <s v="Líder_Corp_383"/>
        <s v="Líder_Corp_384"/>
        <s v="Líder_Corp_385"/>
        <s v="Líder_Corp_386"/>
        <s v="Líder_Corp_387"/>
        <s v="Líder_Corp_388"/>
        <s v="Líder_Corp_389"/>
        <s v="Líder_Corp_390"/>
        <s v="Líder_Corp_391"/>
        <s v="Líder_Corp_392"/>
        <s v="Líder_Corp_393"/>
        <s v="Líder_Corp_394"/>
        <s v="Líder_Corp_395"/>
        <s v="Líder_Corp_396"/>
        <s v="Líder_Corp_397"/>
        <s v="Líder_Corp_398"/>
        <s v="Líder_Corp_399"/>
        <s v="Líder_Corp_400"/>
        <s v="Líder_Corp_401"/>
        <s v="Líder_Corp_402"/>
        <s v="Líder_Corp_403"/>
        <s v="Líder_Corp_404"/>
        <s v="Líder_Corp_405"/>
        <s v="Líder_Corp_406"/>
        <s v="Líder_Corp_407"/>
        <s v="Líder_Corp_408"/>
        <s v="Líder_Corp_409"/>
        <s v="Líder_Corp_410"/>
        <s v="Líder_Corp_411"/>
        <s v="Líder_Corp_412"/>
        <s v="Líder_Corp_413"/>
        <s v="Líder_Corp_414"/>
        <s v="Líder_Corp_415"/>
        <s v="Líder_Corp_416"/>
        <s v="Líder_Corp_417"/>
        <s v="Líder_Corp_418"/>
        <s v="Líder_Corp_419"/>
        <s v="Líder_Corp_420"/>
        <s v="Líder_Corp_421"/>
        <s v="Líder_Corp_422"/>
        <s v="Líder_Corp_423"/>
        <s v="Líder_Corp_424"/>
        <s v="Líder_Corp_425"/>
        <s v="Líder_Corp_426"/>
        <s v="Líder_Corp_427"/>
        <s v="Líder_Corp_428"/>
        <s v="Líder_Corp_429"/>
        <s v="Líder_Corp_430"/>
        <s v="Líder_Corp_431"/>
        <s v="Líder_Corp_432"/>
        <s v="Líder_Corp_433"/>
        <s v="Líder_Corp_434"/>
        <s v="Líder_Corp_435"/>
        <s v="Líder_Corp_436"/>
        <s v="Líder_Corp_437"/>
        <s v="Líder_Corp_438"/>
        <s v="Líder_Corp_439"/>
        <s v="Líder_Corp_440"/>
        <s v="Líder_Corp_441"/>
        <s v="Líder_Corp_442"/>
        <s v="Líder_Corp_443"/>
        <s v="Líder_Corp_444"/>
        <s v="Líder_Corp_445"/>
        <s v="Líder_Corp_446"/>
        <s v="Líder_Corp_447"/>
        <s v="Líder_Corp_448"/>
        <s v="Líder_Corp_449"/>
        <s v="Líder_Corp_450"/>
        <s v="Líder_Corp_451"/>
        <s v="Líder_Corp_452"/>
        <s v="Líder_Corp_453"/>
        <s v="Líder_Corp_454"/>
        <s v="Líder_Corp_455"/>
        <s v="Líder_Corp_456"/>
        <s v="Líder_Corp_457"/>
        <s v="Líder_Corp_458"/>
        <s v="Líder_Corp_459"/>
        <s v="Líder_Corp_460"/>
        <s v="Líder_Corp_461"/>
        <s v="Líder_Corp_462"/>
        <s v="Líder_Corp_463"/>
        <s v="Líder_Corp_464"/>
        <s v="Líder_Corp_465"/>
        <s v="Líder_Corp_466"/>
        <s v="Líder_Corp_467"/>
        <s v="Líder_Corp_468"/>
        <s v="Líder_Corp_469"/>
        <s v="Líder_Corp_470"/>
        <s v="Líder_Corp_471"/>
        <s v="Líder_Corp_472"/>
        <s v="Líder_Corp_473"/>
        <s v="Líder_Corp_474"/>
        <s v="Líder_Corp_475"/>
        <s v="Líder_Corp_476"/>
        <s v="Líder_Corp_477"/>
        <s v="Líder_Corp_478"/>
        <s v="Líder_Corp_479"/>
        <s v="Líder_Corp_480"/>
        <s v="Líder_Corp_481"/>
        <s v="Líder_Corp_482"/>
        <s v="Líder_Corp_483"/>
        <s v="Líder_Corp_484"/>
        <s v="Líder_Corp_485"/>
        <s v="Líder_Corp_486"/>
        <s v="Líder_Corp_487"/>
        <s v="Líder_Corp_488"/>
        <s v="Líder_Corp_489"/>
        <s v="Líder_Corp_490"/>
        <s v="Líder_Corp_491"/>
        <s v="Líder_Corp_492"/>
        <s v="Líder_Corp_493"/>
        <s v="Líder_Corp_494"/>
        <s v="Líder_Corp_495"/>
        <s v="Líder_Corp_496"/>
        <s v="Líder_Corp_497"/>
        <s v="Líder_Corp_498"/>
        <s v="Líder_Corp_499"/>
        <s v="Líder_Corp_500"/>
        <s v="Líder_Corp_501"/>
        <s v="Líder_Corp_502"/>
        <s v="Líder_Corp_503"/>
        <s v="Líder_Corp_504"/>
        <s v="Líder_Corp_505"/>
        <s v="Líder_Corp_506"/>
        <s v="Líder_Corp_507"/>
        <s v="Líder_Corp_508"/>
        <s v="Líder_Corp_509"/>
        <s v="Líder_Corp_510"/>
        <s v="Líder_Corp_511"/>
        <s v="Líder_Corp_512"/>
        <s v="Líder_Corp_513"/>
        <s v="Líder_Corp_514"/>
        <s v="Líder_Corp_515"/>
        <s v="Líder_Corp_516"/>
        <s v="Líder_Corp_517"/>
        <s v="ANTONIO DEUSIMAR LEITE MARTINS JUNIOR*" u="1"/>
        <s v="MARCOS PAULO BATTISTINI" u="1"/>
        <s v="JULIANA CARQUEIJO GOUVEIA" u="1"/>
        <s v="ANTONIO DEUSIMAR LEITE MARTINS JUNIOR" u="1"/>
        <s v="MARCELA BITENCOURT RUFINO MOREIRA" u="1"/>
        <m u="1"/>
      </sharedItems>
    </cacheField>
    <cacheField name="GERÊNCIA" numFmtId="0">
      <sharedItems containsBlank="1" count="49">
        <s v="TRANSP DISTRIBUIÇÃO - DENTRO DO ESTADO"/>
        <s v="LOGISTICA SP (CORPORATIVO)"/>
        <s v="ALMOXARIFADO DE PRODUTO ACABADO"/>
        <s v="SUPPLY CHAIN"/>
        <s v="DISTRIBUIÇÃO"/>
        <s v="REGIONAL DE LOGÍSTICA SUPORTE REGIONAL"/>
        <s v="FATURAMENTO"/>
        <s v="ALMOXARIFADO DE PRODUTO ACABADO SUPORTE"/>
        <s v="GESTÃO DA PERFORMANCE"/>
        <s v="CENTRAL DE DEVOLUÇÕES"/>
        <s v="CUSTOMER SERVICE INTERNO"/>
        <s v="GESTÃO DE TRANSPORTES"/>
        <s v="GERÊNCIA INDUSTRIAL JASMINE"/>
        <s v="CENTRAL DE PAGAMENTOS"/>
        <s v="CENTRAL DE MONITORAMENTO"/>
        <s v="CUSTOS LOGÍSTICOS E ORÇAMENTO"/>
        <s v="PLANEJAMENTO INTEGRADO"/>
        <s v="OPERAÇÕES LOGÍSTICAS - SÃO CAETANO SUL"/>
        <s v="MELHORIA CONTÍNUA"/>
        <s v="PLANEJAMENTO ESTRATÉGICO"/>
        <s v="CUSTOMER SERVICE EXTERNO"/>
        <s v="EXPEDIÇÃO VERTICALIZADAS"/>
        <s v="DEMANDA"/>
        <s v="CENTRAL DE ROTEIRIZAÇÃO"/>
        <s v="ALMOXARIFADO DE MATÉRIA-PRIMA"/>
        <s v="CUSTOS LOGÍSTICOS E ORÇAMENTO CORP"/>
        <s v="TRANSP DIST FARINHA - DENTRO DO ESTADO"/>
        <s v="PLANEJAMENTO DE PRODUÇÃO E ABASTECIMENTO"/>
        <s v="RECEBIMENTO BALANÇA"/>
        <s v="ALMOXARIFADO GERAL"/>
        <s v="LOGISTICA EXPEDIÇÃO CGS"/>
        <s v="REGIONAL DE LOGÍSTICA SUPORTE REGIONAL  "/>
        <s v="REGIONAL DE LOGISTICA SUPORTE REGIONAL"/>
        <s v="COSTOMER SERVICE (CORPORATIVO)"/>
        <s v="ALMOXARIFADO DE EMBALAGENS"/>
        <s v="CUSTOS LOGISTICOS E ORCAMENTO"/>
        <s v="PLANEJAMENTO E ANÁLISE DE MALHA"/>
        <s v="LOGISTICA ADM CGS"/>
        <s v="TRANSPORTE FARINHA - PCP"/>
        <m/>
        <s v="CUSTOMER SERVICE"/>
        <s v="DIRETORIA LOGISTICA E PLAN INTEGRADO"/>
        <s v="APOIO DISTRIBUICAO GRU 1º­ TURNO    "/>
        <s v="CUSTOMER SERVICE SCS                "/>
        <s v="PROC CUSTOMER SERVICE SCS           "/>
        <s v="ALMOXARIFADO DE PA SUPORTE OPERACAO"/>
        <s v="DISTRIBUICAO SUPORTE REGIONAL"/>
        <s v="COSTOMER SERVICE INTERNO"/>
        <s v="TRANSP DISTRIBUICAO - DENTRO DO ESTADO" u="1"/>
      </sharedItems>
    </cacheField>
    <cacheField name="LIDERANÇA IMEDIATA" numFmtId="0">
      <sharedItems containsBlank="1" count="617">
        <s v="Líder_Imed_001"/>
        <s v="Líder_Imed_002"/>
        <s v="Líder_Imed_003"/>
        <s v="Líder_Imed_004"/>
        <s v="Líder_Imed_005"/>
        <s v="Líder_Imed_006"/>
        <s v="Líder_Imed_007"/>
        <s v="Líder_Imed_008"/>
        <s v="Líder_Imed_009"/>
        <s v="Líder_Imed_010"/>
        <s v="Líder_Imed_011"/>
        <s v="Líder_Imed_012"/>
        <s v="Líder_Imed_013"/>
        <s v="Líder_Imed_014"/>
        <s v="Líder_Imed_015"/>
        <s v="Líder_Imed_016"/>
        <s v="Líder_Imed_017"/>
        <s v="Líder_Imed_018"/>
        <s v="Líder_Imed_019"/>
        <s v="Líder_Imed_020"/>
        <s v="Líder_Imed_021"/>
        <s v="Líder_Imed_022"/>
        <s v="Líder_Imed_023"/>
        <s v="Líder_Imed_024"/>
        <s v="Líder_Imed_025"/>
        <s v="Líder_Imed_026"/>
        <s v="Líder_Imed_027"/>
        <s v="Líder_Imed_028"/>
        <s v="Líder_Imed_029"/>
        <s v="Líder_Imed_030"/>
        <s v="Líder_Imed_031"/>
        <s v="Líder_Imed_032"/>
        <s v="Líder_Imed_033"/>
        <s v="Líder_Imed_034"/>
        <s v="Líder_Imed_035"/>
        <s v="Líder_Imed_036"/>
        <s v="Líder_Imed_037"/>
        <s v="Líder_Imed_038"/>
        <s v="Líder_Imed_039"/>
        <s v="Líder_Imed_040"/>
        <s v="Líder_Imed_041"/>
        <s v="Líder_Imed_042"/>
        <s v="Líder_Imed_043"/>
        <s v="Líder_Imed_044"/>
        <s v="Líder_Imed_045"/>
        <s v="Líder_Imed_046"/>
        <s v="Líder_Imed_047"/>
        <s v="Líder_Imed_048"/>
        <s v="Líder_Imed_049"/>
        <s v="Líder_Imed_050"/>
        <s v="Líder_Imed_051"/>
        <s v="Líder_Imed_052"/>
        <s v="Líder_Imed_053"/>
        <s v="Líder_Imed_054"/>
        <s v="Líder_Imed_055"/>
        <s v="Líder_Imed_056"/>
        <s v="Líder_Imed_057"/>
        <s v="Líder_Imed_058"/>
        <s v="Líder_Imed_059"/>
        <s v="Líder_Imed_060"/>
        <s v="Líder_Imed_061"/>
        <s v="Líder_Imed_062"/>
        <s v="Líder_Imed_063"/>
        <s v="Líder_Imed_064"/>
        <s v="Líder_Imed_065"/>
        <s v="Líder_Imed_066"/>
        <s v="Líder_Imed_067"/>
        <s v="Líder_Imed_068"/>
        <s v="Líder_Imed_069"/>
        <s v="Líder_Imed_070"/>
        <s v="Líder_Imed_071"/>
        <s v="Líder_Imed_072"/>
        <s v="Líder_Imed_073"/>
        <s v="Líder_Imed_074"/>
        <s v="Líder_Imed_075"/>
        <s v="Líder_Imed_076"/>
        <s v="Líder_Imed_077"/>
        <s v="Líder_Imed_078"/>
        <s v="Líder_Imed_079"/>
        <s v="Líder_Imed_080"/>
        <s v="Líder_Imed_081"/>
        <s v="Líder_Imed_082"/>
        <s v="Líder_Imed_083"/>
        <s v="Líder_Imed_084"/>
        <s v="Líder_Imed_085"/>
        <s v="Líder_Imed_086"/>
        <s v="Líder_Imed_087"/>
        <s v="Líder_Imed_088"/>
        <s v="Líder_Imed_089"/>
        <s v="Líder_Imed_090"/>
        <s v="Líder_Imed_091"/>
        <s v="Líder_Imed_092"/>
        <s v="Líder_Imed_093"/>
        <s v="Líder_Imed_094"/>
        <s v="Líder_Imed_095"/>
        <s v="Líder_Imed_096"/>
        <s v="Líder_Imed_097"/>
        <s v="Líder_Imed_098"/>
        <s v="Líder_Imed_099"/>
        <s v="Líder_Imed_100"/>
        <s v="Líder_Imed_101"/>
        <s v="Líder_Imed_102"/>
        <s v="Líder_Imed_103"/>
        <s v="Líder_Imed_104"/>
        <s v="Líder_Imed_105"/>
        <s v="Líder_Imed_106"/>
        <s v="Líder_Imed_107"/>
        <s v="Líder_Imed_108"/>
        <s v="Líder_Imed_109"/>
        <s v="Líder_Imed_110"/>
        <s v="Líder_Imed_111"/>
        <s v="Líder_Imed_112"/>
        <s v="Líder_Imed_113"/>
        <s v="Líder_Imed_114"/>
        <s v="Líder_Imed_115"/>
        <s v="Líder_Imed_116"/>
        <s v="Líder_Imed_117"/>
        <s v="Líder_Imed_118"/>
        <s v="Líder_Imed_119"/>
        <s v="Líder_Imed_120"/>
        <s v="Líder_Imed_121"/>
        <s v="Líder_Imed_122"/>
        <s v="Líder_Imed_123"/>
        <s v="Líder_Imed_124"/>
        <s v="Líder_Imed_125"/>
        <s v="Líder_Imed_126"/>
        <s v="Líder_Imed_127"/>
        <s v="Líder_Imed_128"/>
        <s v="Líder_Imed_129"/>
        <s v="Líder_Imed_130"/>
        <s v="Líder_Imed_131"/>
        <s v="Líder_Imed_132"/>
        <s v="Líder_Imed_133"/>
        <s v="Líder_Imed_134"/>
        <s v="Líder_Imed_135"/>
        <s v="Líder_Imed_136"/>
        <s v="Líder_Imed_137"/>
        <s v="Líder_Imed_138"/>
        <s v="Líder_Imed_139"/>
        <s v="Líder_Imed_140"/>
        <s v="Líder_Imed_141"/>
        <s v="Líder_Imed_142"/>
        <s v="Líder_Imed_143"/>
        <s v="Líder_Imed_144"/>
        <s v="Líder_Imed_145"/>
        <s v="Líder_Imed_146"/>
        <s v="Líder_Imed_147"/>
        <s v="Líder_Imed_148"/>
        <s v="Líder_Imed_149"/>
        <s v="Líder_Imed_150"/>
        <s v="Líder_Imed_151"/>
        <s v="Líder_Imed_152"/>
        <s v="Líder_Imed_153"/>
        <s v="Líder_Imed_154"/>
        <s v="Líder_Imed_155"/>
        <s v="Líder_Imed_156"/>
        <s v="Líder_Imed_157"/>
        <s v="Líder_Imed_158"/>
        <s v="Líder_Imed_159"/>
        <s v="Líder_Imed_160"/>
        <s v="Líder_Imed_161"/>
        <s v="Líder_Imed_162"/>
        <s v="Líder_Imed_163"/>
        <s v="Líder_Imed_164"/>
        <s v="Líder_Imed_165"/>
        <s v="Líder_Imed_166"/>
        <s v="Líder_Imed_167"/>
        <s v="Líder_Imed_168"/>
        <s v="Líder_Imed_169"/>
        <s v="Líder_Imed_170"/>
        <s v="Líder_Imed_171"/>
        <s v="Líder_Imed_172"/>
        <s v="Líder_Imed_173"/>
        <s v="Líder_Imed_174"/>
        <s v="Líder_Imed_175"/>
        <s v="Líder_Imed_176"/>
        <s v="Líder_Imed_177"/>
        <s v="Líder_Imed_178"/>
        <s v="Líder_Imed_179"/>
        <s v="Líder_Imed_180"/>
        <s v="Líder_Imed_181"/>
        <s v="Líder_Imed_182"/>
        <s v="Líder_Imed_183"/>
        <s v="Líder_Imed_184"/>
        <s v="Líder_Imed_185"/>
        <s v="Líder_Imed_186"/>
        <s v="Líder_Imed_187"/>
        <s v="Líder_Imed_188"/>
        <s v="Líder_Imed_189"/>
        <s v="Líder_Imed_190"/>
        <s v="Líder_Imed_191"/>
        <s v="Líder_Imed_192"/>
        <s v="Líder_Imed_193"/>
        <s v="Líder_Imed_194"/>
        <s v="Líder_Imed_195"/>
        <s v="Líder_Imed_196"/>
        <s v="Líder_Imed_197"/>
        <s v="Líder_Imed_198"/>
        <s v="Líder_Imed_199"/>
        <s v="Líder_Imed_200"/>
        <s v="Líder_Imed_201"/>
        <s v="Líder_Imed_202"/>
        <s v="Líder_Imed_203"/>
        <s v="Líder_Imed_204"/>
        <s v="Líder_Imed_205"/>
        <s v="Líder_Imed_206"/>
        <s v="Líder_Imed_207"/>
        <s v="Líder_Imed_208"/>
        <s v="Líder_Imed_209"/>
        <s v="Líder_Imed_210"/>
        <s v="Líder_Imed_211"/>
        <s v="Líder_Imed_212"/>
        <s v="Líder_Imed_213"/>
        <s v="Líder_Imed_214"/>
        <s v="Líder_Imed_215"/>
        <s v="Líder_Imed_216"/>
        <s v="Líder_Imed_217"/>
        <s v="Líder_Imed_218"/>
        <s v="Líder_Imed_219"/>
        <s v="Líder_Imed_220"/>
        <s v="Líder_Imed_221"/>
        <s v="Líder_Imed_222"/>
        <s v="Líder_Imed_223"/>
        <s v="Líder_Imed_224"/>
        <s v="Líder_Imed_225"/>
        <s v="Líder_Imed_226"/>
        <s v="Líder_Imed_227"/>
        <s v="Líder_Imed_228"/>
        <s v="Líder_Imed_229"/>
        <s v="Líder_Imed_230"/>
        <s v="Líder_Imed_231"/>
        <s v="Líder_Imed_232"/>
        <s v="Líder_Imed_233"/>
        <s v="Líder_Imed_234"/>
        <s v="Líder_Imed_235"/>
        <s v="Líder_Imed_236"/>
        <s v="Líder_Imed_237"/>
        <s v="Líder_Imed_238"/>
        <s v="Líder_Imed_239"/>
        <s v="Líder_Imed_240"/>
        <s v="Líder_Imed_241"/>
        <s v="Líder_Imed_242"/>
        <s v="Líder_Imed_243"/>
        <s v="Líder_Imed_244"/>
        <s v="Líder_Imed_245"/>
        <s v="Líder_Imed_246"/>
        <s v="Líder_Imed_247"/>
        <s v="Líder_Imed_248"/>
        <s v="Líder_Imed_249"/>
        <s v="Líder_Imed_250"/>
        <s v="Líder_Imed_251"/>
        <s v="Líder_Imed_252"/>
        <s v="Líder_Imed_253"/>
        <s v="Líder_Imed_254"/>
        <s v="Líder_Imed_255"/>
        <s v="Líder_Imed_256"/>
        <s v="Líder_Imed_257"/>
        <s v="Líder_Imed_258"/>
        <s v="Líder_Imed_259"/>
        <s v="Líder_Imed_260"/>
        <s v="Líder_Imed_261"/>
        <s v="Líder_Imed_262"/>
        <s v="Líder_Imed_263"/>
        <s v="Líder_Imed_264"/>
        <s v="Líder_Imed_265"/>
        <s v="Líder_Imed_266"/>
        <s v="Líder_Imed_267"/>
        <s v="Líder_Imed_268"/>
        <s v="Líder_Imed_269"/>
        <s v="Líder_Imed_270"/>
        <s v="Líder_Imed_271"/>
        <s v="Líder_Imed_272"/>
        <s v="Líder_Imed_273"/>
        <s v="Líder_Imed_274"/>
        <s v="Líder_Imed_275"/>
        <s v="Líder_Imed_276"/>
        <s v="Líder_Imed_277"/>
        <s v="Líder_Imed_278"/>
        <s v="Líder_Imed_279"/>
        <s v="Líder_Imed_280"/>
        <s v="Líder_Imed_281"/>
        <s v="Líder_Imed_282"/>
        <s v="Líder_Imed_283"/>
        <s v="Líder_Imed_284"/>
        <s v="Líder_Imed_285"/>
        <s v="Líder_Imed_286"/>
        <s v="Líder_Imed_287"/>
        <s v="Líder_Imed_288"/>
        <s v="Líder_Imed_289"/>
        <s v="Líder_Imed_290"/>
        <s v="Líder_Imed_291"/>
        <s v="Líder_Imed_292"/>
        <s v="Líder_Imed_293"/>
        <s v="Líder_Imed_294"/>
        <s v="Líder_Imed_295"/>
        <s v="Líder_Imed_296"/>
        <s v="Líder_Imed_297"/>
        <s v="Líder_Imed_298"/>
        <s v="Líder_Imed_299"/>
        <s v="Líder_Imed_300"/>
        <s v="Líder_Imed_301"/>
        <s v="Líder_Imed_302"/>
        <s v="Líder_Imed_303"/>
        <s v="Líder_Imed_304"/>
        <s v="Líder_Imed_305"/>
        <s v="Líder_Imed_306"/>
        <s v="Líder_Imed_307"/>
        <s v="Líder_Imed_308"/>
        <s v="Líder_Imed_309"/>
        <s v="Líder_Imed_310"/>
        <s v="Líder_Imed_311"/>
        <s v="Líder_Imed_312"/>
        <s v="Líder_Imed_313"/>
        <s v="Líder_Imed_314"/>
        <s v="Líder_Imed_315"/>
        <s v="Líder_Imed_316"/>
        <s v="Líder_Imed_317"/>
        <s v="Líder_Imed_318"/>
        <s v="Líder_Imed_319"/>
        <s v="Líder_Imed_320"/>
        <s v="Líder_Imed_321"/>
        <s v="Líder_Imed_322"/>
        <s v="Líder_Imed_323"/>
        <s v="Líder_Imed_324"/>
        <s v="Líder_Imed_325"/>
        <s v="Líder_Imed_326"/>
        <s v="Líder_Imed_327"/>
        <s v="Líder_Imed_328"/>
        <s v="Líder_Imed_329"/>
        <s v="Líder_Imed_330"/>
        <s v="Líder_Imed_331"/>
        <s v="Líder_Imed_332"/>
        <s v="Líder_Imed_333"/>
        <s v="Líder_Imed_334"/>
        <s v="Líder_Imed_335"/>
        <s v="Líder_Imed_336"/>
        <s v="Líder_Imed_337"/>
        <s v="Líder_Imed_338"/>
        <s v="Líder_Imed_339"/>
        <s v="Líder_Imed_340"/>
        <s v="Líder_Imed_341"/>
        <s v="Líder_Imed_342"/>
        <s v="Líder_Imed_343"/>
        <s v="Líder_Imed_344"/>
        <s v="Líder_Imed_345"/>
        <s v="Líder_Imed_346"/>
        <s v="Líder_Imed_347"/>
        <s v="Líder_Imed_348"/>
        <s v="Líder_Imed_349"/>
        <s v="Líder_Imed_350"/>
        <s v="Líder_Imed_351"/>
        <s v="Líder_Imed_352"/>
        <s v="Líder_Imed_353"/>
        <s v="Líder_Imed_354"/>
        <s v="Líder_Imed_355"/>
        <s v="Líder_Imed_356"/>
        <s v="Líder_Imed_357"/>
        <s v="Líder_Imed_358"/>
        <s v="Líder_Imed_359"/>
        <s v="Líder_Imed_360"/>
        <s v="Líder_Imed_361"/>
        <s v="Líder_Imed_362"/>
        <s v="Líder_Imed_363"/>
        <s v="Líder_Imed_364"/>
        <s v="Líder_Imed_365"/>
        <s v="Líder_Imed_366"/>
        <s v="Líder_Imed_367"/>
        <s v="Líder_Imed_368"/>
        <s v="Líder_Imed_369"/>
        <s v="Líder_Imed_370"/>
        <s v="Líder_Imed_371"/>
        <s v="Líder_Imed_372"/>
        <s v="Líder_Imed_373"/>
        <s v="Líder_Imed_374"/>
        <s v="Líder_Imed_375"/>
        <s v="Líder_Imed_376"/>
        <s v="Líder_Imed_377"/>
        <s v="Líder_Imed_378"/>
        <s v="Líder_Imed_379"/>
        <s v="Líder_Imed_380"/>
        <s v="Líder_Imed_381"/>
        <s v="Líder_Imed_382"/>
        <s v="Líder_Imed_383"/>
        <s v="Líder_Imed_384"/>
        <s v="Líder_Imed_385"/>
        <s v="Líder_Imed_386"/>
        <s v="Líder_Imed_387"/>
        <s v="Líder_Imed_388"/>
        <s v="Líder_Imed_389"/>
        <s v="Líder_Imed_390"/>
        <s v="Líder_Imed_391"/>
        <s v="Líder_Imed_392"/>
        <s v="Líder_Imed_393"/>
        <s v="Líder_Imed_394"/>
        <s v="Líder_Imed_395"/>
        <s v="Líder_Imed_396"/>
        <s v="Líder_Imed_397"/>
        <s v="Líder_Imed_398"/>
        <s v="Líder_Imed_399"/>
        <s v="Líder_Imed_400"/>
        <s v="Líder_Imed_401"/>
        <s v="Líder_Imed_402"/>
        <s v="Líder_Imed_403"/>
        <s v="Líder_Imed_404"/>
        <s v="Líder_Imed_405"/>
        <s v="Líder_Imed_406"/>
        <s v="Líder_Imed_407"/>
        <s v="Líder_Imed_408"/>
        <s v="Líder_Imed_409"/>
        <s v="Líder_Imed_410"/>
        <s v="Líder_Imed_411"/>
        <s v="Líder_Imed_412"/>
        <s v="Líder_Imed_413"/>
        <s v="Líder_Imed_414"/>
        <s v="Líder_Imed_415"/>
        <s v="Líder_Imed_416"/>
        <s v="Líder_Imed_417"/>
        <s v="Líder_Imed_418"/>
        <s v="Líder_Imed_419"/>
        <s v="Líder_Imed_420"/>
        <s v="Líder_Imed_421"/>
        <s v="Líder_Imed_422"/>
        <s v="Líder_Imed_423"/>
        <s v="Líder_Imed_424"/>
        <s v="Líder_Imed_425"/>
        <s v="Líder_Imed_426"/>
        <s v="Líder_Imed_427"/>
        <s v="Líder_Imed_428"/>
        <s v="Líder_Imed_429"/>
        <s v="Líder_Imed_430"/>
        <s v="Líder_Imed_431"/>
        <s v="Líder_Imed_432"/>
        <s v="Líder_Imed_433"/>
        <s v="Líder_Imed_434"/>
        <s v="Líder_Imed_435"/>
        <s v="Líder_Imed_436"/>
        <s v="Líder_Imed_437"/>
        <s v="Líder_Imed_438"/>
        <s v="Líder_Imed_439"/>
        <s v="Líder_Imed_440"/>
        <s v="Líder_Imed_441"/>
        <s v="Líder_Imed_442"/>
        <s v="Líder_Imed_443"/>
        <s v="Líder_Imed_444"/>
        <s v="Líder_Imed_445"/>
        <s v="Líder_Imed_446"/>
        <s v="Líder_Imed_447"/>
        <s v="Líder_Imed_448"/>
        <s v="Líder_Imed_449"/>
        <s v="Líder_Imed_450"/>
        <s v="Líder_Imed_451"/>
        <s v="Líder_Imed_452"/>
        <s v="Líder_Imed_453"/>
        <s v="Líder_Imed_454"/>
        <s v="Líder_Imed_455"/>
        <s v="Líder_Imed_456"/>
        <s v="Líder_Imed_457"/>
        <s v="Líder_Imed_458"/>
        <s v="Líder_Imed_459"/>
        <s v="Líder_Imed_460"/>
        <s v="Líder_Imed_461"/>
        <s v="Líder_Imed_462"/>
        <s v="Líder_Imed_463"/>
        <s v="Líder_Imed_464"/>
        <s v="Líder_Imed_465"/>
        <s v="Líder_Imed_466"/>
        <s v="Líder_Imed_467"/>
        <s v="Líder_Imed_468"/>
        <s v="Líder_Imed_469"/>
        <s v="Líder_Imed_470"/>
        <s v="Líder_Imed_471"/>
        <s v="Líder_Imed_472"/>
        <s v="Líder_Imed_473"/>
        <s v="Líder_Imed_474"/>
        <s v="Líder_Imed_475"/>
        <s v="Líder_Imed_476"/>
        <s v="Líder_Imed_477"/>
        <s v="Líder_Imed_478"/>
        <s v="Líder_Imed_479"/>
        <s v="Líder_Imed_480"/>
        <s v="Líder_Imed_481"/>
        <s v="Líder_Imed_482"/>
        <s v="Líder_Imed_483"/>
        <s v="Líder_Imed_484"/>
        <s v="Líder_Imed_485"/>
        <s v="Líder_Imed_486"/>
        <s v="Líder_Imed_487"/>
        <s v="Líder_Imed_488"/>
        <s v="Líder_Imed_489"/>
        <s v="Líder_Imed_490"/>
        <s v="Líder_Imed_491"/>
        <s v="Líder_Imed_492"/>
        <s v="Líder_Imed_493"/>
        <s v="Líder_Imed_494"/>
        <s v="Líder_Imed_495"/>
        <s v="Líder_Imed_496"/>
        <s v="Líder_Imed_497"/>
        <s v="Líder_Imed_498"/>
        <s v="Líder_Imed_499"/>
        <s v="Líder_Imed_500"/>
        <s v="Líder_Imed_501"/>
        <s v="Líder_Imed_502"/>
        <s v="Líder_Imed_503"/>
        <s v="Líder_Imed_504"/>
        <s v="Líder_Imed_505"/>
        <s v="Líder_Imed_506"/>
        <s v="Líder_Imed_507"/>
        <s v="Líder_Imed_508"/>
        <s v="Líder_Imed_509"/>
        <s v="Líder_Imed_510"/>
        <s v="Líder_Imed_511"/>
        <s v="Líder_Imed_512"/>
        <s v="Líder_Imed_513"/>
        <s v="Líder_Imed_514"/>
        <s v="Líder_Imed_515"/>
        <s v="Líder_Imed_516"/>
        <s v="Líder_Imed_517"/>
        <s v="MAXWELLMA FRANCO VIEIRA" u="1"/>
        <s v="MARCIO JOSE PEREIRA RAMOS" u="1"/>
        <s v="UOSHINGTON SILVA DOS SANTOS" u="1"/>
        <s v="ADJAIR SEVERINO DE LIRA" u="1"/>
        <s v="LUCIO RICARDO GURJAO WANDERLEY JUNIOR" u="1"/>
        <s v="ROMULO VIANA" u="1"/>
        <s v="ANDRE LOURENCO DA SILVA" u="1"/>
        <s v="CLEBER DIEGO SILVA DE LIMA" u="1"/>
        <s v="SEBASTIAO FRANCO BAYMA NETO" u="1"/>
        <s v="RICARDO AUGUSTO ACCIOLY DA FONSECA JUNIOR" u="1"/>
        <s v="MARIA GESONIZA DE SOUSA" u="1"/>
        <s v="MATEUS BEZERRA DE FREITAS" u="1"/>
        <s v="SERGIANA LIMA COSTA CORDEIRO" u="1"/>
        <s v="DANIEL PAULA DE SOUSA" u="1"/>
        <s v="JOELVERSON CAMARGO RODRIGUES" u="1"/>
        <s v="EDERSON ALBUQUERQUE BESSA" u="1"/>
        <s v="ED FERREIRA DA SILVA JUNIOR" u="1"/>
        <s v="EDSON SOARES" u="1"/>
        <s v="FLAVIA GRACIELE DA SILVA FREITAS" u="1"/>
        <s v="ELIEL SILVESTRI BARBOZA" u="1"/>
        <s v="MATHEUS FERES DE OLIVEIRA" u="1"/>
        <s v="MARIA RAFAELA FERREIRA DE SOUSA" u="1"/>
        <s v="RAMON ARRUDA GONCALVES" u="1"/>
        <s v="LUIS EDOARDO BEZERRA LOUREIRO" u="1"/>
        <s v="GILMAR DA SILVA" u="1"/>
        <s v="DANILO SOUZA LIMA" u="1"/>
        <s v="JULIANA VASCONCELLOS DUTRA CARDOSO" u="1"/>
        <s v="MARCOS CAMPELO MASCARENHAS" u="1"/>
        <s v="VIVIANE DE AZEVEDO PEREIRA BARBOSA" u="1"/>
        <s v="LEONARDO PIRES DO PRADO" u="1"/>
        <s v="HERMOGENES MACHADO DA CONCEICAO" u="1"/>
        <s v="ARY EISLER COMAR JUNIOR" u="1"/>
        <s v="ATARCISIO DA COSTA PEREIRA JUNIOR" u="1"/>
        <s v="ANDERSON CARDOZO LENHARI" u="1"/>
        <s v="CARLOS ALBERTO ALVES DA MOTA" u="1"/>
        <s v="PAULO SERGIO DE OLIVEIRA" u="1"/>
        <s v="GUILHERME RETZLAFF MOREIRA" u="1"/>
        <s v="FILIPE SEIDI KADOWAKI" u="1"/>
        <s v="GUILHERME MARCATO NAKANO" u="1"/>
        <s v="DANILSON CASTRO DOMINGOS" u="1"/>
        <s v="JOAQUIM BEZERRA DE ARAUJO NETO" u="1"/>
        <s v="IVO FREIRE DE ARAUJO FILHO" u="1"/>
        <s v="DAYVSON GONCALVES VITORINO" u="1"/>
        <s v="PEDRO PAULO GUIRRO TARDIVO" u="1"/>
        <s v="DELANO BRASIL FALCAO" u="1"/>
        <s v="ANTONIO DEUSIMAR LEITE MARTINS JUNIOR*" u="1"/>
        <s v="MARIA DO CARMO BARBOZA ALVES" u="1"/>
        <s v="MARCELA BITENCOURT RUFINO MOREIRA" u="1"/>
        <s v="LEONARDO LUIS DOS SANTOS LOPES BEZERRA" u="1"/>
        <s v="MARYANE FERREIRA SACRAMENTO" u="1"/>
        <s v="MARINA COELHO MAIA" u="1"/>
        <s v="JOSE ROMILSON INES GUIMARAES" u="1"/>
        <s v="DAVYD AYRAN SOARES" u="1"/>
        <s v="GUSTAVO HENRIQUE DE SOUZA ALBRECHT" u="1"/>
        <s v="MARCO AURELIO VAZ DE MORAES" u="1"/>
        <s v="ELIVANDO DUARTE DOS SANTOS" u="1"/>
        <s v="KETHLYN HARACEMKO DE OLIVEIRA" u="1"/>
        <s v="RAQUEL DE AZEVEDO OLIVEIRA" u="1"/>
        <s v="LEONARDO MEDRADO DA SILVA E SILVA" u="1"/>
        <s v="JESSICA MAYARA ALVES PEREIRA" u="1"/>
        <s v="Wagner Wesley Venancio da Rocha Silva" u="1"/>
        <s v="GERALDO SERGIO DE ALMEIDA NETO" u="1"/>
        <s v="MAIARA CARINE DE LIMA SILVA" u="1"/>
        <s v="ANDRE ARAUJO LOPES" u="1"/>
        <s v="LUCIVANDO LEITE LAURENTINO" u="1"/>
        <s v="DANIEL RODRIGUES PROENCA" u="1"/>
        <s v="RONY SANDER TEIXEIRA" u="1"/>
        <s v="EDNELSON DA COSTA SOARES" u="1"/>
        <s v="KARLA NUBIA ESTRELA DE SOUSA" u="1"/>
        <s v="JANDEYLSON SOUZA DE LIMA" u="1"/>
        <s v="MARCELO AUGUSTO VIANA" u="1"/>
        <s v="WILLAME MAGNO DE SOUSA GONCALVES" u="1"/>
        <s v="KATIA CRISTINA CONTE" u="1"/>
        <s v="LUIZ SANTANA SOBREIRA DE OLIVEIRA" u="1"/>
        <s v="ANTONIO DEUSIMAR LEITE MARTINS JUNIOR" u="1"/>
        <s v="JOSE RIVAMAR OLIVEIRA" u="1"/>
        <s v="MARCOS PAULO BATTISTINI" u="1"/>
        <s v="WALTER CORREA DOS SANTOS JUNIOR" u="1"/>
        <s v="JOSENEI DE SOUZA SILVA" u="1"/>
        <s v="KAZUYUKI IRIGUCHI JUNIOR" u="1"/>
        <s v="LUCAS AVEDO SOUSA" u="1"/>
        <s v="LUCIANO DA PAIXAO FERREIRA" u="1"/>
        <s v="VALDOMIR ANTONIO DE ARAUJO JUNIOR" u="1"/>
        <s v="MARCELO FERREIRA DA SILVA" u="1"/>
        <s v="ROGERIO VIEIRA DIAS NETO" u="1"/>
        <s v="JULIANA CARQUEIJO GOUVEIA" u="1"/>
        <s v="FRANKLIN LAURINDO QUEIROZ" u="1"/>
        <s v="WANCLEY BEZERRA DA SILVA" u="1"/>
        <s v="WALLISSON SANTIAGO SARAIVA" u="1"/>
        <m u="1"/>
        <s v="MARCIO DE ALMEIDA RODRIGUES" u="1"/>
        <s v="EDMILSON DE ANDRADE FERREIRA" u="1"/>
        <s v="JANEDSON JUCA DE QUEIROZ FILHO " u="1"/>
        <s v="ELISANGELA TEIXEIRA DE OLIVEIRA" u="1"/>
        <s v="LUCIANE NUNES DA PAZ" u="1"/>
        <s v="LUIZ EDUARDO CORDEIRO DA SILVA" u="1"/>
        <s v="AMELIA CHRISTYANNE TEIXEIRA MEDEIROS" u="1"/>
        <s v="EDER RODRIGO DA SILVA" u="1"/>
        <s v="FABIANO DE OLIVEIRA SANTOS ZOTARELLI" u="1"/>
        <s v="PAULO MAURICIO PIRES DA SILVA" u="1"/>
      </sharedItems>
    </cacheField>
    <cacheField name="Status Assessment" numFmtId="0">
      <sharedItems/>
    </cacheField>
    <cacheField name="Cursos e Conteúdos da Trilha Recomendada" numFmtId="0">
      <sharedItems containsSemiMixedTypes="0" containsString="0" containsNumber="1" containsInteger="1" minValue="0" maxValue="36"/>
    </cacheField>
    <cacheField name="Status" numFmtId="49">
      <sharedItems/>
    </cacheField>
    <cacheField name="Status Trilha" numFmtId="0">
      <sharedItems containsBlank="1" count="3">
        <s v="Cursando"/>
        <s v="Concluído"/>
        <m u="1"/>
      </sharedItems>
    </cacheField>
    <cacheField name="Carga Horária Total" numFmtId="0">
      <sharedItems containsSemiMixedTypes="0" containsString="0" containsNumber="1" containsInteger="1" minValue="46" maxValue="124"/>
    </cacheField>
    <cacheField name="Carga Horária Cursada" numFmtId="0">
      <sharedItems containsSemiMixedTypes="0" containsString="0" containsNumber="1" containsInteger="1" minValue="4" maxValue="124"/>
    </cacheField>
  </cacheFields>
  <extLst>
    <ext xmlns:x14="http://schemas.microsoft.com/office/spreadsheetml/2009/9/main" uri="{725AE2AE-9491-48be-B2B4-4EB974FC3084}">
      <x14:pivotCacheDefinition pivotCacheId="62378057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DOS SANTOS JUNIOR" refreshedDate="46164.708088888889" createdVersion="8" refreshedVersion="8" minRefreshableVersion="3" recordCount="514" xr:uid="{CF0B0A37-CFE2-4863-9425-8F9DFCCDB81B}">
  <cacheSource type="worksheet">
    <worksheetSource ref="A7:P521" sheet="Relatorio"/>
  </cacheSource>
  <cacheFields count="16">
    <cacheField name="Nome" numFmtId="0">
      <sharedItems/>
    </cacheField>
    <cacheField name="CARGO" numFmtId="0">
      <sharedItems/>
    </cacheField>
    <cacheField name="FAMÍLIA DE CARGO" numFmtId="0">
      <sharedItems/>
    </cacheField>
    <cacheField name="CENTRO DE CUSTO" numFmtId="0">
      <sharedItems/>
    </cacheField>
    <cacheField name="UNIDADE" numFmtId="0">
      <sharedItems/>
    </cacheField>
    <cacheField name="ESTADO" numFmtId="0">
      <sharedItems/>
    </cacheField>
    <cacheField name="GERÊNCIA CORPORATIVA" numFmtId="0">
      <sharedItems count="5">
        <s v="GERÊNCIA NACIONAL DE DISTRIBUIÇÃO"/>
        <s v="GERÊNCIA EXECUTIVA DE PLANEJAMENTO INTEGRADO"/>
        <s v="GERÊNCIA CORPORATIVA DE CUSTOMER SERVICE"/>
        <s v="GERÊNCIA CORPORATIVA DE LOGÍSTICA E EXCELÊNCIA"/>
        <s v="GERÊNCIA DE CUSTOS E ORÇAMENTO LOGÍSTICA"/>
      </sharedItems>
    </cacheField>
    <cacheField name="LIDERANÇA CORPORATIVA" numFmtId="0">
      <sharedItems count="519">
        <s v="Líder_Corp_001"/>
        <s v="Líder_Corp_002"/>
        <s v="Líder_Corp_003"/>
        <s v="Líder_Corp_004"/>
        <s v="Líder_Corp_005"/>
        <s v="Líder_Corp_006"/>
        <s v="Líder_Corp_007"/>
        <s v="Líder_Corp_008"/>
        <s v="Líder_Corp_009"/>
        <s v="Líder_Corp_010"/>
        <s v="Líder_Corp_011"/>
        <s v="Líder_Corp_012"/>
        <s v="Líder_Corp_013"/>
        <s v="Líder_Corp_014"/>
        <s v="Líder_Corp_015"/>
        <s v="Líder_Corp_016"/>
        <s v="Líder_Corp_017"/>
        <s v="Líder_Corp_018"/>
        <s v="Líder_Corp_019"/>
        <s v="Líder_Corp_020"/>
        <s v="Líder_Corp_021"/>
        <s v="Líder_Corp_022"/>
        <s v="Líder_Corp_023"/>
        <s v="Líder_Corp_024"/>
        <s v="Líder_Corp_025"/>
        <s v="Líder_Corp_026"/>
        <s v="Líder_Corp_027"/>
        <s v="Líder_Corp_028"/>
        <s v="Líder_Corp_029"/>
        <s v="Líder_Corp_030"/>
        <s v="Líder_Corp_031"/>
        <s v="Líder_Corp_032"/>
        <s v="Líder_Corp_033"/>
        <s v="Líder_Corp_034"/>
        <s v="Líder_Corp_035"/>
        <s v="Líder_Corp_036"/>
        <s v="Líder_Corp_037"/>
        <s v="Líder_Corp_038"/>
        <s v="Líder_Corp_039"/>
        <s v="Líder_Corp_040"/>
        <s v="Líder_Corp_041"/>
        <s v="Líder_Corp_042"/>
        <s v="Líder_Corp_043"/>
        <s v="Líder_Corp_044"/>
        <s v="Líder_Corp_045"/>
        <s v="Líder_Corp_046"/>
        <s v="Líder_Corp_047"/>
        <s v="Líder_Corp_048"/>
        <s v="Líder_Corp_049"/>
        <s v="Líder_Corp_050"/>
        <s v="Líder_Corp_051"/>
        <s v="Líder_Corp_052"/>
        <s v="Líder_Corp_053"/>
        <s v="Líder_Corp_054"/>
        <s v="Líder_Corp_055"/>
        <s v="Líder_Corp_056"/>
        <s v="Líder_Corp_057"/>
        <s v="Líder_Corp_058"/>
        <s v="Líder_Corp_059"/>
        <s v="Líder_Corp_060"/>
        <s v="Líder_Corp_061"/>
        <s v="Líder_Corp_062"/>
        <s v="Líder_Corp_063"/>
        <s v="Líder_Corp_064"/>
        <s v="Líder_Corp_065"/>
        <s v="Líder_Corp_066"/>
        <s v="Líder_Corp_067"/>
        <s v="Líder_Corp_068"/>
        <s v="Líder_Corp_069"/>
        <s v="Líder_Corp_070"/>
        <s v="Líder_Corp_071"/>
        <s v="Líder_Corp_072"/>
        <s v="Líder_Corp_073"/>
        <s v="Líder_Corp_074"/>
        <s v="Líder_Corp_075"/>
        <s v="Líder_Corp_076"/>
        <s v="Líder_Corp_077"/>
        <s v="Líder_Corp_078"/>
        <s v="Líder_Corp_079"/>
        <s v="Líder_Corp_080"/>
        <s v="Líder_Corp_081"/>
        <s v="Líder_Corp_082"/>
        <s v="Líder_Corp_083"/>
        <s v="Líder_Corp_084"/>
        <s v="Líder_Corp_085"/>
        <s v="Líder_Corp_086"/>
        <s v="Líder_Corp_087"/>
        <s v="Líder_Corp_088"/>
        <s v="Líder_Corp_089"/>
        <s v="Líder_Corp_090"/>
        <s v="Líder_Corp_091"/>
        <s v="Líder_Corp_092"/>
        <s v="Líder_Corp_093"/>
        <s v="Líder_Corp_094"/>
        <s v="Líder_Corp_095"/>
        <s v="Líder_Corp_096"/>
        <s v="Líder_Corp_097"/>
        <s v="Líder_Corp_098"/>
        <s v="Líder_Corp_099"/>
        <s v="Líder_Corp_100"/>
        <s v="Líder_Corp_101"/>
        <s v="Líder_Corp_102"/>
        <s v="Líder_Corp_103"/>
        <s v="Líder_Corp_104"/>
        <s v="Líder_Corp_105"/>
        <s v="Líder_Corp_106"/>
        <s v="Líder_Corp_107"/>
        <s v="Líder_Corp_108"/>
        <s v="Líder_Corp_109"/>
        <s v="Líder_Corp_110"/>
        <s v="Líder_Corp_111"/>
        <s v="Líder_Corp_112"/>
        <s v="Líder_Corp_113"/>
        <s v="Líder_Corp_114"/>
        <s v="Líder_Corp_115"/>
        <s v="Líder_Corp_116"/>
        <s v="Líder_Corp_117"/>
        <s v="Líder_Corp_118"/>
        <s v="Líder_Corp_119"/>
        <s v="Líder_Corp_120"/>
        <s v="Líder_Corp_121"/>
        <s v="Líder_Corp_122"/>
        <s v="Líder_Corp_123"/>
        <s v="Líder_Corp_124"/>
        <s v="Líder_Corp_125"/>
        <s v="Líder_Corp_126"/>
        <s v="Líder_Corp_127"/>
        <s v="Líder_Corp_128"/>
        <s v="Líder_Corp_129"/>
        <s v="Líder_Corp_130"/>
        <s v="Líder_Corp_131"/>
        <s v="Líder_Corp_132"/>
        <s v="Líder_Corp_133"/>
        <s v="Líder_Corp_134"/>
        <s v="Líder_Corp_135"/>
        <s v="Líder_Corp_136"/>
        <s v="Líder_Corp_137"/>
        <s v="Líder_Corp_138"/>
        <s v="Líder_Corp_139"/>
        <s v="Líder_Corp_140"/>
        <s v="Líder_Corp_141"/>
        <s v="Líder_Corp_142"/>
        <s v="Líder_Corp_143"/>
        <s v="Líder_Corp_144"/>
        <s v="Líder_Corp_145"/>
        <s v="Líder_Corp_146"/>
        <s v="Líder_Corp_147"/>
        <s v="Líder_Corp_148"/>
        <s v="Líder_Corp_149"/>
        <s v="Líder_Corp_150"/>
        <s v="Líder_Corp_151"/>
        <s v="Líder_Corp_152"/>
        <s v="Líder_Corp_153"/>
        <s v="Líder_Corp_154"/>
        <s v="Líder_Corp_155"/>
        <s v="Líder_Corp_156"/>
        <s v="Líder_Corp_157"/>
        <s v="Líder_Corp_158"/>
        <s v="Líder_Corp_159"/>
        <s v="Líder_Corp_160"/>
        <s v="Líder_Corp_161"/>
        <s v="Líder_Corp_162"/>
        <s v="Líder_Corp_163"/>
        <s v="Líder_Corp_164"/>
        <s v="Líder_Corp_165"/>
        <s v="Líder_Corp_166"/>
        <s v="Líder_Corp_167"/>
        <s v="Líder_Corp_168"/>
        <s v="Líder_Corp_169"/>
        <s v="Líder_Corp_170"/>
        <s v="Líder_Corp_171"/>
        <s v="Líder_Corp_172"/>
        <s v="Líder_Corp_173"/>
        <s v="Líder_Corp_174"/>
        <s v="Líder_Corp_175"/>
        <s v="Líder_Corp_176"/>
        <s v="Líder_Corp_177"/>
        <s v="Líder_Corp_178"/>
        <s v="Líder_Corp_179"/>
        <s v="Líder_Corp_180"/>
        <s v="Líder_Corp_181"/>
        <s v="Líder_Corp_182"/>
        <s v="Líder_Corp_183"/>
        <s v="Líder_Corp_184"/>
        <s v="Líder_Corp_185"/>
        <s v="Líder_Corp_186"/>
        <s v="Líder_Corp_187"/>
        <s v="Líder_Corp_188"/>
        <s v="Líder_Corp_189"/>
        <s v="Líder_Corp_190"/>
        <s v="Líder_Corp_191"/>
        <s v="Líder_Corp_192"/>
        <s v="Líder_Corp_193"/>
        <s v="Líder_Corp_194"/>
        <s v="Líder_Corp_195"/>
        <s v="Líder_Corp_196"/>
        <s v="Líder_Corp_197"/>
        <s v="Líder_Corp_198"/>
        <s v="Líder_Corp_199"/>
        <s v="Líder_Corp_200"/>
        <s v="Líder_Corp_201"/>
        <s v="Líder_Corp_202"/>
        <s v="Líder_Corp_203"/>
        <s v="Líder_Corp_204"/>
        <s v="Líder_Corp_205"/>
        <s v="Líder_Corp_206"/>
        <s v="Líder_Corp_207"/>
        <s v="Líder_Corp_208"/>
        <s v="Líder_Corp_209"/>
        <s v="Líder_Corp_210"/>
        <s v="Líder_Corp_211"/>
        <s v="Líder_Corp_212"/>
        <s v="Líder_Corp_213"/>
        <s v="Líder_Corp_214"/>
        <s v="Líder_Corp_215"/>
        <s v="Líder_Corp_216"/>
        <s v="Líder_Corp_217"/>
        <s v="Líder_Corp_218"/>
        <s v="Líder_Corp_219"/>
        <s v="Líder_Corp_220"/>
        <s v="Líder_Corp_221"/>
        <s v="Líder_Corp_222"/>
        <s v="Líder_Corp_223"/>
        <s v="Líder_Corp_224"/>
        <s v="Líder_Corp_225"/>
        <s v="Líder_Corp_226"/>
        <s v="Líder_Corp_227"/>
        <s v="Líder_Corp_228"/>
        <s v="Líder_Corp_229"/>
        <s v="Líder_Corp_230"/>
        <s v="Líder_Corp_231"/>
        <s v="Líder_Corp_232"/>
        <s v="Líder_Corp_233"/>
        <s v="Líder_Corp_234"/>
        <s v="Líder_Corp_235"/>
        <s v="Líder_Corp_236"/>
        <s v="Líder_Corp_237"/>
        <s v="Líder_Corp_238"/>
        <s v="Líder_Corp_239"/>
        <s v="Líder_Corp_240"/>
        <s v="Líder_Corp_241"/>
        <s v="Líder_Corp_242"/>
        <s v="Líder_Corp_243"/>
        <s v="Líder_Corp_244"/>
        <s v="Líder_Corp_245"/>
        <s v="Líder_Corp_246"/>
        <s v="Líder_Corp_247"/>
        <s v="Líder_Corp_248"/>
        <s v="Líder_Corp_249"/>
        <s v="Líder_Corp_250"/>
        <s v="Líder_Corp_251"/>
        <s v="Líder_Corp_252"/>
        <s v="Líder_Corp_253"/>
        <s v="Líder_Corp_254"/>
        <s v="Líder_Corp_255"/>
        <s v="Líder_Corp_256"/>
        <s v="Líder_Corp_257"/>
        <s v="Líder_Corp_258"/>
        <s v="Líder_Corp_259"/>
        <s v="Líder_Corp_260"/>
        <s v="Líder_Corp_261"/>
        <s v="Líder_Corp_262"/>
        <s v="Líder_Corp_263"/>
        <s v="Líder_Corp_264"/>
        <s v="Líder_Corp_265"/>
        <s v="Líder_Corp_266"/>
        <s v="Líder_Corp_267"/>
        <s v="Líder_Corp_268"/>
        <s v="Líder_Corp_269"/>
        <s v="Líder_Corp_270"/>
        <s v="Líder_Corp_271"/>
        <s v="Líder_Corp_272"/>
        <s v="Líder_Corp_273"/>
        <s v="Líder_Corp_274"/>
        <s v="Líder_Corp_275"/>
        <s v="Líder_Corp_276"/>
        <s v="Líder_Corp_277"/>
        <s v="Líder_Corp_278"/>
        <s v="Líder_Corp_279"/>
        <s v="Líder_Corp_280"/>
        <s v="Líder_Corp_281"/>
        <s v="Líder_Corp_282"/>
        <s v="Líder_Corp_283"/>
        <s v="Líder_Corp_284"/>
        <s v="Líder_Corp_285"/>
        <s v="Líder_Corp_286"/>
        <s v="Líder_Corp_287"/>
        <s v="Líder_Corp_288"/>
        <s v="Líder_Corp_289"/>
        <s v="Líder_Corp_290"/>
        <s v="Líder_Corp_291"/>
        <s v="Líder_Corp_292"/>
        <s v="Líder_Corp_293"/>
        <s v="Líder_Corp_294"/>
        <s v="Líder_Corp_295"/>
        <s v="Líder_Corp_296"/>
        <s v="Líder_Corp_297"/>
        <s v="Líder_Corp_298"/>
        <s v="Líder_Corp_299"/>
        <s v="Líder_Corp_300"/>
        <s v="Líder_Corp_301"/>
        <s v="Líder_Corp_302"/>
        <s v="Líder_Corp_303"/>
        <s v="Líder_Corp_304"/>
        <s v="Líder_Corp_305"/>
        <s v="Líder_Corp_306"/>
        <s v="Líder_Corp_307"/>
        <s v="Líder_Corp_308"/>
        <s v="Líder_Corp_309"/>
        <s v="Líder_Corp_310"/>
        <s v="Líder_Corp_311"/>
        <s v="Líder_Corp_312"/>
        <s v="Líder_Corp_313"/>
        <s v="Líder_Corp_314"/>
        <s v="Líder_Corp_315"/>
        <s v="Líder_Corp_316"/>
        <s v="Líder_Corp_317"/>
        <s v="Líder_Corp_318"/>
        <s v="Líder_Corp_319"/>
        <s v="Líder_Corp_320"/>
        <s v="Líder_Corp_321"/>
        <s v="Líder_Corp_322"/>
        <s v="Líder_Corp_323"/>
        <s v="Líder_Corp_324"/>
        <s v="Líder_Corp_325"/>
        <s v="Líder_Corp_326"/>
        <s v="Líder_Corp_327"/>
        <s v="Líder_Corp_328"/>
        <s v="Líder_Corp_329"/>
        <s v="Líder_Corp_330"/>
        <s v="Líder_Corp_331"/>
        <s v="Líder_Corp_332"/>
        <s v="Líder_Corp_333"/>
        <s v="Líder_Corp_334"/>
        <s v="Líder_Corp_335"/>
        <s v="Líder_Corp_336"/>
        <s v="Líder_Corp_337"/>
        <s v="Líder_Corp_338"/>
        <s v="Líder_Corp_339"/>
        <s v="Líder_Corp_340"/>
        <s v="Líder_Corp_341"/>
        <s v="Líder_Corp_342"/>
        <s v="Líder_Corp_343"/>
        <s v="Líder_Corp_344"/>
        <s v="Líder_Corp_345"/>
        <s v="Líder_Corp_346"/>
        <s v="Líder_Corp_347"/>
        <s v="Líder_Corp_348"/>
        <s v="Líder_Corp_349"/>
        <s v="Líder_Corp_350"/>
        <s v="Líder_Corp_351"/>
        <s v="Líder_Corp_352"/>
        <s v="Líder_Corp_353"/>
        <s v="Líder_Corp_354"/>
        <s v="Líder_Corp_355"/>
        <s v="Líder_Corp_356"/>
        <s v="Líder_Corp_357"/>
        <s v="Líder_Corp_358"/>
        <s v="Líder_Corp_359"/>
        <s v="Líder_Corp_360"/>
        <s v="Líder_Corp_361"/>
        <s v="Líder_Corp_362"/>
        <s v="Líder_Corp_363"/>
        <s v="Líder_Corp_364"/>
        <s v="Líder_Corp_365"/>
        <s v="Líder_Corp_366"/>
        <s v="Líder_Corp_367"/>
        <s v="Líder_Corp_368"/>
        <s v="Líder_Corp_369"/>
        <s v="Líder_Corp_370"/>
        <s v="Líder_Corp_371"/>
        <s v="Líder_Corp_372"/>
        <s v="Líder_Corp_373"/>
        <s v="Líder_Corp_374"/>
        <s v="Líder_Corp_375"/>
        <s v="Líder_Corp_376"/>
        <s v="Líder_Corp_377"/>
        <s v="Líder_Corp_378"/>
        <s v="Líder_Corp_379"/>
        <s v="Líder_Corp_380"/>
        <s v="Líder_Corp_381"/>
        <s v="Líder_Corp_382"/>
        <s v="Líder_Corp_383"/>
        <s v="Líder_Corp_384"/>
        <s v="Líder_Corp_385"/>
        <s v="Líder_Corp_386"/>
        <s v="Líder_Corp_387"/>
        <s v="Líder_Corp_388"/>
        <s v="Líder_Corp_389"/>
        <s v="Líder_Corp_390"/>
        <s v="Líder_Corp_391"/>
        <s v="Líder_Corp_392"/>
        <s v="Líder_Corp_393"/>
        <s v="Líder_Corp_394"/>
        <s v="Líder_Corp_395"/>
        <s v="Líder_Corp_396"/>
        <s v="Líder_Corp_397"/>
        <s v="Líder_Corp_398"/>
        <s v="Líder_Corp_399"/>
        <s v="Líder_Corp_400"/>
        <s v="Líder_Corp_401"/>
        <s v="Líder_Corp_402"/>
        <s v="Líder_Corp_403"/>
        <s v="Líder_Corp_404"/>
        <s v="Líder_Corp_405"/>
        <s v="Líder_Corp_406"/>
        <s v="Líder_Corp_407"/>
        <s v="Líder_Corp_408"/>
        <s v="Líder_Corp_409"/>
        <s v="Líder_Corp_410"/>
        <s v="Líder_Corp_411"/>
        <s v="Líder_Corp_412"/>
        <s v="Líder_Corp_413"/>
        <s v="Líder_Corp_414"/>
        <s v="Líder_Corp_415"/>
        <s v="Líder_Corp_416"/>
        <s v="Líder_Corp_417"/>
        <s v="Líder_Corp_418"/>
        <s v="Líder_Corp_419"/>
        <s v="Líder_Corp_420"/>
        <s v="Líder_Corp_421"/>
        <s v="Líder_Corp_422"/>
        <s v="Líder_Corp_423"/>
        <s v="Líder_Corp_424"/>
        <s v="Líder_Corp_425"/>
        <s v="Líder_Corp_426"/>
        <s v="Líder_Corp_427"/>
        <s v="Líder_Corp_428"/>
        <s v="Líder_Corp_429"/>
        <s v="Líder_Corp_430"/>
        <s v="Líder_Corp_431"/>
        <s v="Líder_Corp_432"/>
        <s v="Líder_Corp_433"/>
        <s v="Líder_Corp_434"/>
        <s v="Líder_Corp_435"/>
        <s v="Líder_Corp_436"/>
        <s v="Líder_Corp_437"/>
        <s v="Líder_Corp_438"/>
        <s v="Líder_Corp_439"/>
        <s v="Líder_Corp_440"/>
        <s v="Líder_Corp_441"/>
        <s v="Líder_Corp_442"/>
        <s v="Líder_Corp_443"/>
        <s v="Líder_Corp_444"/>
        <s v="Líder_Corp_445"/>
        <s v="Líder_Corp_446"/>
        <s v="Líder_Corp_447"/>
        <s v="Líder_Corp_448"/>
        <s v="Líder_Corp_449"/>
        <s v="Líder_Corp_450"/>
        <s v="Líder_Corp_451"/>
        <s v="Líder_Corp_452"/>
        <s v="Líder_Corp_453"/>
        <s v="Líder_Corp_454"/>
        <s v="Líder_Corp_455"/>
        <s v="Líder_Corp_456"/>
        <s v="Líder_Corp_457"/>
        <s v="Líder_Corp_458"/>
        <s v="Líder_Corp_459"/>
        <s v="Líder_Corp_460"/>
        <s v="Líder_Corp_461"/>
        <s v="Líder_Corp_462"/>
        <s v="Líder_Corp_463"/>
        <s v="Líder_Corp_464"/>
        <s v="Líder_Corp_465"/>
        <s v="Líder_Corp_466"/>
        <s v="Líder_Corp_467"/>
        <s v="Líder_Corp_468"/>
        <s v="Líder_Corp_469"/>
        <s v="Líder_Corp_470"/>
        <s v="Líder_Corp_471"/>
        <s v="Líder_Corp_472"/>
        <s v="Líder_Corp_473"/>
        <s v="Líder_Corp_474"/>
        <s v="Líder_Corp_475"/>
        <s v="Líder_Corp_476"/>
        <s v="Líder_Corp_477"/>
        <s v="Líder_Corp_478"/>
        <s v="Líder_Corp_479"/>
        <s v="Líder_Corp_480"/>
        <s v="Líder_Corp_481"/>
        <s v="Líder_Corp_482"/>
        <s v="Líder_Corp_483"/>
        <s v="Líder_Corp_484"/>
        <s v="Líder_Corp_485"/>
        <s v="Líder_Corp_486"/>
        <s v="Líder_Corp_487"/>
        <s v="Líder_Corp_488"/>
        <s v="Líder_Corp_489"/>
        <s v="Líder_Corp_490"/>
        <s v="Líder_Corp_491"/>
        <s v="Líder_Corp_492"/>
        <s v="Líder_Corp_493"/>
        <s v="Líder_Corp_494"/>
        <s v="Líder_Corp_495"/>
        <s v="Líder_Corp_496"/>
        <s v="Líder_Corp_497"/>
        <s v="Líder_Corp_498"/>
        <s v="Líder_Corp_499"/>
        <s v="Líder_Corp_500"/>
        <s v="Líder_Corp_501"/>
        <s v="Líder_Corp_502"/>
        <s v="Líder_Corp_503"/>
        <s v="Líder_Corp_504"/>
        <s v="Líder_Corp_505"/>
        <s v="Líder_Corp_506"/>
        <s v="Líder_Corp_507"/>
        <s v="Líder_Corp_508"/>
        <s v="Líder_Corp_509"/>
        <s v="Líder_Corp_510"/>
        <s v="Líder_Corp_511"/>
        <s v="Líder_Corp_512"/>
        <s v="Líder_Corp_513"/>
        <s v="Líder_Corp_514"/>
        <s v="ANTONIO DEUSIMAR LEITE MARTINS JUNIOR*" u="1"/>
        <s v="MARCOS PAULO BATTISTINI" u="1"/>
        <s v="JULIANA CARQUEIJO GOUVEIA" u="1"/>
        <s v="ANTONIO DEUSIMAR LEITE MARTINS JUNIOR" u="1"/>
        <s v="MARCELA BITENCOURT RUFINO MOREIRA" u="1"/>
      </sharedItems>
    </cacheField>
    <cacheField name="GERÊNCIA" numFmtId="0">
      <sharedItems containsBlank="1"/>
    </cacheField>
    <cacheField name="LIDERANÇA IMEDIATA" numFmtId="0">
      <sharedItems/>
    </cacheField>
    <cacheField name="Status Assessment" numFmtId="0">
      <sharedItems/>
    </cacheField>
    <cacheField name="Cursos e Conteúdos da Trilha Recomendada" numFmtId="0">
      <sharedItems containsSemiMixedTypes="0" containsString="0" containsNumber="1" containsInteger="1" minValue="0" maxValue="36"/>
    </cacheField>
    <cacheField name="Status" numFmtId="49">
      <sharedItems/>
    </cacheField>
    <cacheField name="Status Trilha" numFmtId="0">
      <sharedItems/>
    </cacheField>
    <cacheField name="Carga Horária Total" numFmtId="0">
      <sharedItems containsSemiMixedTypes="0" containsString="0" containsNumber="1" containsInteger="1" minValue="46" maxValue="124"/>
    </cacheField>
    <cacheField name="Carga Horária Cursada" numFmtId="0">
      <sharedItems containsSemiMixedTypes="0" containsString="0" containsNumber="1" containsInteger="1" minValue="4" maxValue="124"/>
    </cacheField>
  </cacheFields>
  <extLst>
    <ext xmlns:x14="http://schemas.microsoft.com/office/spreadsheetml/2009/9/main" uri="{725AE2AE-9491-48be-B2B4-4EB974FC3084}">
      <x14:pivotCacheDefinition pivotCacheId="52981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x v="0"/>
    <s v="SUPERVISOR DE LOGISTICA"/>
    <s v="SUPERVISOR"/>
    <s v="MAT_001"/>
    <x v="0"/>
    <x v="0"/>
    <x v="0"/>
    <x v="0"/>
    <x v="0"/>
    <x v="0"/>
    <s v="Concluído"/>
    <n v="7"/>
    <s v="28%"/>
    <x v="0"/>
    <n v="82"/>
    <n v="23"/>
  </r>
  <r>
    <x v="1"/>
    <s v="ANALISTA DE LOGÍSTICA"/>
    <s v="PROFISSIONAIS_I"/>
    <s v="MAT_002"/>
    <x v="1"/>
    <x v="1"/>
    <x v="0"/>
    <x v="1"/>
    <x v="1"/>
    <x v="1"/>
    <s v="Concluído"/>
    <n v="7"/>
    <s v="100%"/>
    <x v="1"/>
    <n v="70"/>
    <n v="70"/>
  </r>
  <r>
    <x v="2"/>
    <s v="SUPERVISOR DE LOGISTICA"/>
    <s v="SUPERVISOR"/>
    <s v="MAT_003"/>
    <x v="2"/>
    <x v="2"/>
    <x v="0"/>
    <x v="2"/>
    <x v="2"/>
    <x v="2"/>
    <s v="Concluído"/>
    <n v="7"/>
    <s v="100%"/>
    <x v="1"/>
    <n v="118"/>
    <n v="118"/>
  </r>
  <r>
    <x v="3"/>
    <s v="SUPERVISOR DE LOGISTICA"/>
    <s v="SUPERVISOR"/>
    <s v="MAT_004"/>
    <x v="3"/>
    <x v="3"/>
    <x v="0"/>
    <x v="3"/>
    <x v="2"/>
    <x v="3"/>
    <s v="Concluído"/>
    <n v="7"/>
    <s v="100%"/>
    <x v="1"/>
    <n v="120"/>
    <n v="120"/>
  </r>
  <r>
    <x v="4"/>
    <s v="ANALISTA DE PLANEJ LOGIST I"/>
    <s v="PROFISSIONAIS_I"/>
    <s v="MAT_005"/>
    <x v="4"/>
    <x v="2"/>
    <x v="1"/>
    <x v="4"/>
    <x v="3"/>
    <x v="4"/>
    <s v="Concluído"/>
    <n v="5"/>
    <s v="100%"/>
    <x v="1"/>
    <n v="78"/>
    <n v="78"/>
  </r>
  <r>
    <x v="5"/>
    <s v="ASSISTENTE ADMINISTRATIVO"/>
    <s v="ASSISTENTE"/>
    <s v="MAT_006"/>
    <x v="5"/>
    <x v="4"/>
    <x v="0"/>
    <x v="5"/>
    <x v="4"/>
    <x v="5"/>
    <s v="Concluído"/>
    <n v="9"/>
    <s v="54%"/>
    <x v="0"/>
    <n v="84"/>
    <n v="45"/>
  </r>
  <r>
    <x v="6"/>
    <s v="ANALISTA DE LOGISTICA I"/>
    <s v="PROFISSIONAIS_I"/>
    <s v="MAT_007"/>
    <x v="6"/>
    <x v="3"/>
    <x v="0"/>
    <x v="6"/>
    <x v="5"/>
    <x v="6"/>
    <s v="Concluído"/>
    <n v="9"/>
    <s v="100%"/>
    <x v="1"/>
    <n v="92"/>
    <n v="92"/>
  </r>
  <r>
    <x v="7"/>
    <s v="ASSISTENTE DE OP LOGISTICA II"/>
    <s v="ASSISTENTE"/>
    <s v="MAT_008"/>
    <x v="7"/>
    <x v="3"/>
    <x v="0"/>
    <x v="7"/>
    <x v="5"/>
    <x v="7"/>
    <s v="Concluído"/>
    <n v="9"/>
    <s v="100%"/>
    <x v="1"/>
    <n v="104"/>
    <n v="104"/>
  </r>
  <r>
    <x v="8"/>
    <s v="ASSISTENTE DE OP LOGISTICA II"/>
    <s v="ASSISTENTE"/>
    <s v="MAT_009"/>
    <x v="8"/>
    <x v="0"/>
    <x v="0"/>
    <x v="8"/>
    <x v="6"/>
    <x v="8"/>
    <s v="Concluído"/>
    <n v="9"/>
    <s v="100%"/>
    <x v="1"/>
    <n v="86"/>
    <n v="86"/>
  </r>
  <r>
    <x v="9"/>
    <s v="ASSISTENTE ADMINISTRATIVO"/>
    <s v="ASSISTENTE"/>
    <s v="MAT_010"/>
    <x v="9"/>
    <x v="3"/>
    <x v="0"/>
    <x v="9"/>
    <x v="7"/>
    <x v="9"/>
    <s v="Concluído"/>
    <n v="18"/>
    <s v="8%"/>
    <x v="0"/>
    <n v="106"/>
    <n v="9"/>
  </r>
  <r>
    <x v="10"/>
    <s v="ANALISTA DE LOGISTICA I"/>
    <s v="PROFISSIONAIS_I"/>
    <s v="MAT_011"/>
    <x v="10"/>
    <x v="2"/>
    <x v="0"/>
    <x v="10"/>
    <x v="2"/>
    <x v="10"/>
    <s v="Concluído"/>
    <n v="9"/>
    <s v="100%"/>
    <x v="1"/>
    <n v="104"/>
    <n v="104"/>
  </r>
  <r>
    <x v="11"/>
    <s v="ANALISTA DE LOGISTICA II"/>
    <s v="PROFISSIONAIS_II"/>
    <s v="MAT_012"/>
    <x v="11"/>
    <x v="0"/>
    <x v="0"/>
    <x v="11"/>
    <x v="8"/>
    <x v="11"/>
    <s v="Concluído"/>
    <n v="7"/>
    <s v="56%"/>
    <x v="0"/>
    <n v="118"/>
    <n v="66"/>
  </r>
  <r>
    <x v="12"/>
    <s v="SUPERVISOR DE LOGISTICA"/>
    <s v="SUPERVISOR"/>
    <s v="MAT_013"/>
    <x v="12"/>
    <x v="3"/>
    <x v="0"/>
    <x v="12"/>
    <x v="5"/>
    <x v="12"/>
    <s v="Concluído"/>
    <n v="7"/>
    <s v="100%"/>
    <x v="1"/>
    <n v="66"/>
    <n v="66"/>
  </r>
  <r>
    <x v="13"/>
    <s v="SUPERVISOR DE LOGISTICA"/>
    <s v="SUPERVISOR"/>
    <s v="MAT_014"/>
    <x v="13"/>
    <x v="3"/>
    <x v="0"/>
    <x v="13"/>
    <x v="2"/>
    <x v="13"/>
    <s v="Concluído"/>
    <n v="6"/>
    <s v="100%"/>
    <x v="1"/>
    <n v="65"/>
    <n v="65"/>
  </r>
  <r>
    <x v="14"/>
    <s v="ASSISTENTE DE OP LOGISTICA II"/>
    <s v="ASSISTENTE"/>
    <s v="MAT_015"/>
    <x v="14"/>
    <x v="0"/>
    <x v="0"/>
    <x v="14"/>
    <x v="9"/>
    <x v="14"/>
    <s v="Concluído"/>
    <n v="9"/>
    <s v="100%"/>
    <x v="1"/>
    <n v="120"/>
    <n v="120"/>
  </r>
  <r>
    <x v="15"/>
    <s v="ASSISTENTE DE OP LOGISTICA II"/>
    <s v="ASSISTENTE"/>
    <s v="MAT_016"/>
    <x v="15"/>
    <x v="0"/>
    <x v="1"/>
    <x v="15"/>
    <x v="3"/>
    <x v="15"/>
    <s v="Concluído"/>
    <n v="9"/>
    <s v="100%"/>
    <x v="1"/>
    <n v="120"/>
    <n v="120"/>
  </r>
  <r>
    <x v="16"/>
    <s v="ANALISTA DE CUSTOMER SERVICE I"/>
    <s v="PROFISSIONAIS_I"/>
    <s v="MAT_017"/>
    <x v="16"/>
    <x v="0"/>
    <x v="2"/>
    <x v="16"/>
    <x v="10"/>
    <x v="16"/>
    <s v="Concluído"/>
    <n v="9"/>
    <s v="100%"/>
    <x v="1"/>
    <n v="80"/>
    <n v="80"/>
  </r>
  <r>
    <x v="17"/>
    <s v="COORDENADOR DE LOGISTICA"/>
    <s v="COORDENADOR"/>
    <s v="MAT_018"/>
    <x v="17"/>
    <x v="0"/>
    <x v="0"/>
    <x v="17"/>
    <x v="11"/>
    <x v="17"/>
    <s v="Concluído"/>
    <n v="5"/>
    <s v="100%"/>
    <x v="1"/>
    <n v="76"/>
    <n v="76"/>
  </r>
  <r>
    <x v="18"/>
    <s v="ANALISTA DE PCP JR"/>
    <s v="PROFISSIONAIS_I"/>
    <s v="MAT_019"/>
    <x v="18"/>
    <x v="1"/>
    <x v="1"/>
    <x v="18"/>
    <x v="12"/>
    <x v="18"/>
    <s v="Concluído"/>
    <n v="7"/>
    <s v="100%"/>
    <x v="1"/>
    <n v="73"/>
    <n v="73"/>
  </r>
  <r>
    <x v="19"/>
    <s v="ASSISTENTE DE OP LOGISTICA I"/>
    <s v="ASSISTENTE"/>
    <s v="MAT_020"/>
    <x v="19"/>
    <x v="2"/>
    <x v="0"/>
    <x v="19"/>
    <x v="2"/>
    <x v="19"/>
    <s v="Concluído"/>
    <n v="7"/>
    <s v="100%"/>
    <x v="1"/>
    <n v="78"/>
    <n v="78"/>
  </r>
  <r>
    <x v="20"/>
    <s v="ANALISTA DE PLANEJ LOGIST I"/>
    <s v="PROFISSIONAIS_I"/>
    <s v="MAT_021"/>
    <x v="20"/>
    <x v="0"/>
    <x v="0"/>
    <x v="20"/>
    <x v="13"/>
    <x v="20"/>
    <s v="Concluído"/>
    <n v="7"/>
    <s v="100%"/>
    <x v="1"/>
    <n v="68"/>
    <n v="68"/>
  </r>
  <r>
    <x v="21"/>
    <s v="ANALISTA DE LOGISTICA I"/>
    <s v="PROFISSIONAIS_I"/>
    <s v="MAT_022"/>
    <x v="21"/>
    <x v="5"/>
    <x v="0"/>
    <x v="21"/>
    <x v="0"/>
    <x v="21"/>
    <s v="Concluído"/>
    <n v="9"/>
    <s v="52%"/>
    <x v="0"/>
    <n v="86"/>
    <n v="45"/>
  </r>
  <r>
    <x v="22"/>
    <s v="ANALISTA DE LOGISTICA I"/>
    <s v="PROFISSIONAIS_I"/>
    <s v="MAT_023"/>
    <x v="22"/>
    <x v="3"/>
    <x v="0"/>
    <x v="22"/>
    <x v="5"/>
    <x v="22"/>
    <s v="Concluído"/>
    <n v="7"/>
    <s v="66%"/>
    <x v="0"/>
    <n v="58"/>
    <n v="38"/>
  </r>
  <r>
    <x v="23"/>
    <s v="ASSISTENTE DE OP LOGISTICA I"/>
    <s v="ASSISTENTE"/>
    <s v="MAT_024"/>
    <x v="23"/>
    <x v="6"/>
    <x v="0"/>
    <x v="23"/>
    <x v="5"/>
    <x v="23"/>
    <s v="Concluído"/>
    <n v="9"/>
    <s v="61%"/>
    <x v="0"/>
    <n v="120"/>
    <n v="73"/>
  </r>
  <r>
    <x v="24"/>
    <s v="ASSISTENTE DE OP LOGISTICA I"/>
    <s v="ASSISTENTE"/>
    <s v="MAT_025"/>
    <x v="24"/>
    <x v="0"/>
    <x v="0"/>
    <x v="24"/>
    <x v="11"/>
    <x v="24"/>
    <s v="Concluído"/>
    <n v="9"/>
    <s v="100%"/>
    <x v="1"/>
    <n v="70"/>
    <n v="70"/>
  </r>
  <r>
    <x v="25"/>
    <s v="ANALISTA DE LOGISTICA II"/>
    <s v="PROFISSIONAIS_II"/>
    <s v="MAT_026"/>
    <x v="25"/>
    <x v="0"/>
    <x v="0"/>
    <x v="25"/>
    <x v="14"/>
    <x v="25"/>
    <s v="Concluído"/>
    <n v="9"/>
    <s v="67%"/>
    <x v="0"/>
    <n v="70"/>
    <n v="47"/>
  </r>
  <r>
    <x v="26"/>
    <s v="ANALISTA DE LOGISTICA I"/>
    <s v="PROFISSIONAIS_I"/>
    <s v="MAT_027"/>
    <x v="26"/>
    <x v="3"/>
    <x v="0"/>
    <x v="26"/>
    <x v="15"/>
    <x v="26"/>
    <s v="Concluído"/>
    <n v="9"/>
    <s v="15%"/>
    <x v="0"/>
    <n v="116"/>
    <n v="17"/>
  </r>
  <r>
    <x v="27"/>
    <s v="SUPERVISOR DE LOGISTICA"/>
    <s v="SUPERVISOR"/>
    <s v="MAT_028"/>
    <x v="27"/>
    <x v="4"/>
    <x v="0"/>
    <x v="27"/>
    <x v="4"/>
    <x v="27"/>
    <s v="Concluído"/>
    <n v="7"/>
    <s v="100%"/>
    <x v="1"/>
    <n v="66"/>
    <n v="66"/>
  </r>
  <r>
    <x v="28"/>
    <s v="ANALISTA DE PLANEJ LOGIST III"/>
    <s v="PROFISSIONAIS_III"/>
    <s v="MAT_029"/>
    <x v="28"/>
    <x v="3"/>
    <x v="1"/>
    <x v="28"/>
    <x v="3"/>
    <x v="28"/>
    <s v="Concluído"/>
    <n v="5"/>
    <s v="65%"/>
    <x v="0"/>
    <n v="46"/>
    <n v="30"/>
  </r>
  <r>
    <x v="29"/>
    <s v="ASSISTENTE DE OP LOGISTICA I"/>
    <s v="ASSISTENTE"/>
    <s v="MAT_030"/>
    <x v="29"/>
    <x v="0"/>
    <x v="0"/>
    <x v="29"/>
    <x v="11"/>
    <x v="29"/>
    <s v="Concluído"/>
    <n v="7"/>
    <s v="74%"/>
    <x v="0"/>
    <n v="62"/>
    <n v="46"/>
  </r>
  <r>
    <x v="30"/>
    <s v="ANALISTA DE PLANEJ LOGIST III"/>
    <s v="PROFISSIONAIS_III"/>
    <s v="MAT_031"/>
    <x v="30"/>
    <x v="7"/>
    <x v="1"/>
    <x v="30"/>
    <x v="16"/>
    <x v="30"/>
    <s v="Concluído"/>
    <n v="5"/>
    <s v="100%"/>
    <x v="1"/>
    <n v="62"/>
    <n v="62"/>
  </r>
  <r>
    <x v="31"/>
    <s v="ANALISTA DE CUSTOMER SERVICE II"/>
    <s v="PROFISSIONAIS_II"/>
    <s v="MAT_032"/>
    <x v="31"/>
    <x v="7"/>
    <x v="2"/>
    <x v="31"/>
    <x v="10"/>
    <x v="31"/>
    <s v="Concluído"/>
    <n v="5"/>
    <s v="93%"/>
    <x v="0"/>
    <n v="46"/>
    <n v="43"/>
  </r>
  <r>
    <x v="32"/>
    <s v="ESPECIALISTA DE LOGISTICA"/>
    <s v="ESPECIALISTA"/>
    <s v="MAT_033"/>
    <x v="32"/>
    <x v="7"/>
    <x v="0"/>
    <x v="32"/>
    <x v="17"/>
    <x v="32"/>
    <s v="Concluído"/>
    <n v="7"/>
    <s v="100%"/>
    <x v="1"/>
    <n v="98"/>
    <n v="98"/>
  </r>
  <r>
    <x v="33"/>
    <s v="ASSISTENTE ADMINISTRATIVO"/>
    <s v="ASSISTENTE"/>
    <s v="MAT_034"/>
    <x v="33"/>
    <x v="3"/>
    <x v="0"/>
    <x v="33"/>
    <x v="0"/>
    <x v="33"/>
    <s v="Concluído"/>
    <n v="9"/>
    <s v="94%"/>
    <x v="0"/>
    <n v="106"/>
    <n v="100"/>
  </r>
  <r>
    <x v="34"/>
    <s v="COORDENADOR DE LOGISTICA"/>
    <s v="COORDENADOR"/>
    <s v="MAT_035"/>
    <x v="34"/>
    <x v="7"/>
    <x v="0"/>
    <x v="34"/>
    <x v="2"/>
    <x v="34"/>
    <s v="Concluído"/>
    <n v="7"/>
    <s v="100%"/>
    <x v="1"/>
    <n v="98"/>
    <n v="98"/>
  </r>
  <r>
    <x v="35"/>
    <s v="ANALISTA DE LOGISTICA I"/>
    <s v="PROFISSIONAIS_I"/>
    <s v="MAT_036"/>
    <x v="35"/>
    <x v="7"/>
    <x v="0"/>
    <x v="35"/>
    <x v="4"/>
    <x v="35"/>
    <s v="Concluído"/>
    <n v="7"/>
    <s v="100%"/>
    <x v="1"/>
    <n v="106"/>
    <n v="106"/>
  </r>
  <r>
    <x v="36"/>
    <s v="COORDENADOR DE LOGISTICA"/>
    <s v="COORDENADOR"/>
    <s v="MAT_037"/>
    <x v="36"/>
    <x v="3"/>
    <x v="0"/>
    <x v="36"/>
    <x v="7"/>
    <x v="36"/>
    <s v="Concluído"/>
    <n v="7"/>
    <s v="100%"/>
    <x v="1"/>
    <n v="82"/>
    <n v="82"/>
  </r>
  <r>
    <x v="37"/>
    <s v="ESPECIALISTA DE LOGISTICA"/>
    <s v="ESPECIALISTA"/>
    <s v="MAT_038"/>
    <x v="37"/>
    <x v="0"/>
    <x v="1"/>
    <x v="37"/>
    <x v="18"/>
    <x v="37"/>
    <s v="Concluído"/>
    <n v="6"/>
    <s v="100%"/>
    <x v="1"/>
    <n v="65"/>
    <n v="65"/>
  </r>
  <r>
    <x v="38"/>
    <s v="ANALISTA DE CUSTOMER SERVICE I"/>
    <s v="PROFISSIONAIS_I"/>
    <s v="MAT_039"/>
    <x v="38"/>
    <x v="0"/>
    <x v="2"/>
    <x v="38"/>
    <x v="10"/>
    <x v="38"/>
    <s v="Concluído"/>
    <n v="9"/>
    <s v="100%"/>
    <x v="1"/>
    <n v="80"/>
    <n v="80"/>
  </r>
  <r>
    <x v="39"/>
    <s v="ASSISTENTE DE OP LOGISTICA II"/>
    <s v="ASSISTENTE"/>
    <s v="MAT_040"/>
    <x v="39"/>
    <x v="0"/>
    <x v="0"/>
    <x v="39"/>
    <x v="11"/>
    <x v="39"/>
    <s v="Concluído"/>
    <n v="9"/>
    <s v="53%"/>
    <x v="0"/>
    <n v="80"/>
    <n v="42"/>
  </r>
  <r>
    <x v="40"/>
    <s v="ANALISTA DE LOGISTICA I"/>
    <s v="PROFISSIONAIS_I"/>
    <s v="MAT_041"/>
    <x v="40"/>
    <x v="0"/>
    <x v="0"/>
    <x v="40"/>
    <x v="15"/>
    <x v="40"/>
    <s v="Concluído"/>
    <n v="7"/>
    <s v="100%"/>
    <x v="1"/>
    <n v="81"/>
    <n v="81"/>
  </r>
  <r>
    <x v="41"/>
    <s v="ASSISTENTE DE OP LOGISTICA I"/>
    <s v="ASSISTENTE"/>
    <s v="MAT_042"/>
    <x v="41"/>
    <x v="8"/>
    <x v="0"/>
    <x v="41"/>
    <x v="0"/>
    <x v="41"/>
    <s v="Concluído"/>
    <n v="18"/>
    <s v="100%"/>
    <x v="1"/>
    <n v="106"/>
    <n v="106"/>
  </r>
  <r>
    <x v="42"/>
    <s v="ANALISTA DE PLANEJ LOGIST II"/>
    <s v="PROFISSIONAIS_II"/>
    <s v="MAT_043"/>
    <x v="42"/>
    <x v="0"/>
    <x v="1"/>
    <x v="42"/>
    <x v="3"/>
    <x v="42"/>
    <s v="Concluído"/>
    <n v="5"/>
    <s v="54%"/>
    <x v="0"/>
    <n v="72"/>
    <n v="39"/>
  </r>
  <r>
    <x v="43"/>
    <s v="GERENTE CORPORATIVO LOGISTICA"/>
    <s v="GERENTE"/>
    <s v="MAT_044"/>
    <x v="43"/>
    <x v="0"/>
    <x v="3"/>
    <x v="43"/>
    <x v="19"/>
    <x v="43"/>
    <s v="Concluído"/>
    <n v="5"/>
    <s v="100%"/>
    <x v="1"/>
    <n v="72"/>
    <n v="72"/>
  </r>
  <r>
    <x v="44"/>
    <s v="ANALISTA DE LOGISTICA I"/>
    <s v="PROFISSIONAIS_I"/>
    <s v="MAT_045"/>
    <x v="44"/>
    <x v="9"/>
    <x v="0"/>
    <x v="44"/>
    <x v="2"/>
    <x v="44"/>
    <s v="Concluído"/>
    <n v="7"/>
    <s v="100%"/>
    <x v="1"/>
    <n v="78"/>
    <n v="78"/>
  </r>
  <r>
    <x v="45"/>
    <s v="ASSISTENTE DE OP LOGISTICA III"/>
    <s v="ASSISTENTE"/>
    <s v="MAT_046"/>
    <x v="45"/>
    <x v="10"/>
    <x v="0"/>
    <x v="45"/>
    <x v="0"/>
    <x v="45"/>
    <s v="Concluído"/>
    <n v="7"/>
    <s v="33%"/>
    <x v="0"/>
    <n v="64"/>
    <n v="21"/>
  </r>
  <r>
    <x v="46"/>
    <s v="COORDENADOR DE LOGISTICA"/>
    <s v="COORDENADOR"/>
    <s v="MAT_047"/>
    <x v="46"/>
    <x v="3"/>
    <x v="0"/>
    <x v="46"/>
    <x v="2"/>
    <x v="46"/>
    <s v="Concluído"/>
    <n v="7"/>
    <s v="100%"/>
    <x v="1"/>
    <n v="75"/>
    <n v="75"/>
  </r>
  <r>
    <x v="47"/>
    <s v="ANALISTA DE LOGISTICA I"/>
    <s v="PROFISSIONAIS_I"/>
    <s v="MAT_048"/>
    <x v="47"/>
    <x v="0"/>
    <x v="0"/>
    <x v="47"/>
    <x v="11"/>
    <x v="47"/>
    <s v="Concluído"/>
    <n v="9"/>
    <s v="100%"/>
    <x v="1"/>
    <n v="78"/>
    <n v="78"/>
  </r>
  <r>
    <x v="48"/>
    <s v="ASSISTENTE DE CUSTOMER SERVICE"/>
    <s v="ASSISTENTE_ESPECIFICO"/>
    <s v="MAT_049"/>
    <x v="48"/>
    <x v="3"/>
    <x v="2"/>
    <x v="48"/>
    <x v="20"/>
    <x v="48"/>
    <s v="Concluído"/>
    <n v="7"/>
    <s v="100%"/>
    <x v="1"/>
    <n v="74"/>
    <n v="74"/>
  </r>
  <r>
    <x v="49"/>
    <s v="GERENTE DE CUSTOMER SERVICE"/>
    <s v="GERENTE"/>
    <s v="MAT_050"/>
    <x v="49"/>
    <x v="7"/>
    <x v="2"/>
    <x v="49"/>
    <x v="20"/>
    <x v="49"/>
    <s v="Concluído"/>
    <n v="7"/>
    <s v="100%"/>
    <x v="1"/>
    <n v="78"/>
    <n v="78"/>
  </r>
  <r>
    <x v="50"/>
    <s v="SUPERVISOR DE LOGISTICA"/>
    <s v="SUPERVISOR"/>
    <s v="MAT_051"/>
    <x v="50"/>
    <x v="0"/>
    <x v="0"/>
    <x v="50"/>
    <x v="0"/>
    <x v="50"/>
    <s v="Concluído"/>
    <n v="7"/>
    <s v="100%"/>
    <x v="1"/>
    <n v="82"/>
    <n v="82"/>
  </r>
  <r>
    <x v="51"/>
    <s v="SUPERVISOR DE LOGISTICA"/>
    <s v="SUPERVISOR"/>
    <s v="MAT_052"/>
    <x v="51"/>
    <x v="0"/>
    <x v="0"/>
    <x v="51"/>
    <x v="0"/>
    <x v="51"/>
    <s v="Concluído"/>
    <n v="5"/>
    <s v="100%"/>
    <x v="1"/>
    <n v="76"/>
    <n v="76"/>
  </r>
  <r>
    <x v="52"/>
    <s v="ASSISTENTE DE OP LOGISTICA II"/>
    <s v="ASSISTENTE"/>
    <s v="MAT_053"/>
    <x v="52"/>
    <x v="7"/>
    <x v="0"/>
    <x v="52"/>
    <x v="6"/>
    <x v="52"/>
    <s v="Concluído"/>
    <n v="9"/>
    <s v="100%"/>
    <x v="1"/>
    <n v="84"/>
    <n v="84"/>
  </r>
  <r>
    <x v="53"/>
    <s v="ASSISTENTE ADMINISTRATIVO"/>
    <s v="ASSISTENTE"/>
    <s v="MAT_054"/>
    <x v="53"/>
    <x v="3"/>
    <x v="0"/>
    <x v="53"/>
    <x v="7"/>
    <x v="53"/>
    <s v="Concluído"/>
    <n v="7"/>
    <s v="100%"/>
    <x v="1"/>
    <n v="64"/>
    <n v="64"/>
  </r>
  <r>
    <x v="54"/>
    <s v="ASSISTENTE DE OP LOGISTICA II"/>
    <s v="ASSISTENTE"/>
    <s v="MAT_055"/>
    <x v="54"/>
    <x v="11"/>
    <x v="0"/>
    <x v="54"/>
    <x v="2"/>
    <x v="54"/>
    <s v="Concluído"/>
    <n v="36"/>
    <s v="59%"/>
    <x v="0"/>
    <n v="86"/>
    <n v="51"/>
  </r>
  <r>
    <x v="55"/>
    <s v="ANALISTA DE LOGISTICA I"/>
    <s v="PROFISSIONAIS_I"/>
    <s v="MAT_056"/>
    <x v="55"/>
    <x v="6"/>
    <x v="0"/>
    <x v="55"/>
    <x v="21"/>
    <x v="55"/>
    <s v="Concluído"/>
    <n v="9"/>
    <s v="100%"/>
    <x v="1"/>
    <n v="106"/>
    <n v="106"/>
  </r>
  <r>
    <x v="56"/>
    <s v="ANALISTA DE LOGISTICA I"/>
    <s v="PROFISSIONAIS_I"/>
    <s v="MAT_057"/>
    <x v="56"/>
    <x v="4"/>
    <x v="0"/>
    <x v="56"/>
    <x v="2"/>
    <x v="56"/>
    <s v="Concluído"/>
    <n v="9"/>
    <s v="28%"/>
    <x v="0"/>
    <n v="104"/>
    <n v="29"/>
  </r>
  <r>
    <x v="57"/>
    <s v="ASSISTENTE ADMINISTRATIVO"/>
    <s v="ASSISTENTE"/>
    <s v="MAT_058"/>
    <x v="57"/>
    <x v="3"/>
    <x v="0"/>
    <x v="57"/>
    <x v="2"/>
    <x v="57"/>
    <s v="Concluído"/>
    <n v="9"/>
    <s v="100%"/>
    <x v="1"/>
    <n v="106"/>
    <n v="106"/>
  </r>
  <r>
    <x v="58"/>
    <s v="ANALISTA DE CUSTOMER SERVICE I"/>
    <s v="PROFISSIONAIS_I"/>
    <s v="MAT_059"/>
    <x v="58"/>
    <x v="0"/>
    <x v="2"/>
    <x v="58"/>
    <x v="10"/>
    <x v="58"/>
    <s v="Concluído"/>
    <n v="7"/>
    <s v="100%"/>
    <x v="1"/>
    <n v="70"/>
    <n v="70"/>
  </r>
  <r>
    <x v="59"/>
    <s v="ANALISTA DE LOGISTICA I"/>
    <s v="PROFISSIONAIS_I"/>
    <s v="MAT_060"/>
    <x v="59"/>
    <x v="7"/>
    <x v="0"/>
    <x v="59"/>
    <x v="4"/>
    <x v="59"/>
    <s v="Concluído"/>
    <n v="9"/>
    <s v="100%"/>
    <x v="1"/>
    <n v="70"/>
    <n v="70"/>
  </r>
  <r>
    <x v="60"/>
    <s v="ASSISTENTE DE OP LOGISTICA III"/>
    <s v="ASSISTENTE"/>
    <s v="MAT_061"/>
    <x v="60"/>
    <x v="10"/>
    <x v="0"/>
    <x v="60"/>
    <x v="0"/>
    <x v="60"/>
    <s v="Concluído"/>
    <n v="9"/>
    <s v="100%"/>
    <x v="1"/>
    <n v="84"/>
    <n v="84"/>
  </r>
  <r>
    <x v="61"/>
    <s v="ASSISTENTE DE OP LOGISTICA III"/>
    <s v="ASSISTENTE"/>
    <s v="MAT_062"/>
    <x v="61"/>
    <x v="6"/>
    <x v="0"/>
    <x v="61"/>
    <x v="0"/>
    <x v="61"/>
    <s v="Concluído"/>
    <n v="9"/>
    <s v="100%"/>
    <x v="1"/>
    <n v="86"/>
    <n v="86"/>
  </r>
  <r>
    <x v="62"/>
    <s v="ASSISTENTE DE OP LOGISTICA III"/>
    <s v="ASSISTENTE"/>
    <s v="MAT_063"/>
    <x v="62"/>
    <x v="4"/>
    <x v="1"/>
    <x v="62"/>
    <x v="3"/>
    <x v="62"/>
    <s v="Concluído"/>
    <n v="7"/>
    <s v="100%"/>
    <x v="1"/>
    <n v="58"/>
    <n v="58"/>
  </r>
  <r>
    <x v="63"/>
    <s v="LIDER DE LOGISTICA"/>
    <s v="LIDER_OPERACIONAL"/>
    <s v="MAT_064"/>
    <x v="63"/>
    <x v="7"/>
    <x v="0"/>
    <x v="63"/>
    <x v="4"/>
    <x v="63"/>
    <s v="Concluído"/>
    <n v="7"/>
    <s v="100%"/>
    <x v="1"/>
    <n v="78"/>
    <n v="78"/>
  </r>
  <r>
    <x v="64"/>
    <s v="ANALISTA DE CUSTOMER SERVICE III"/>
    <s v="PROFISSIONAIS_III"/>
    <s v="MAT_065"/>
    <x v="64"/>
    <x v="7"/>
    <x v="2"/>
    <x v="64"/>
    <x v="20"/>
    <x v="64"/>
    <s v="Concluído"/>
    <n v="7"/>
    <s v="100%"/>
    <x v="1"/>
    <n v="58"/>
    <n v="58"/>
  </r>
  <r>
    <x v="65"/>
    <s v="ANALISTA DE LOGISTICA II"/>
    <s v="PROFISSIONAIS_II"/>
    <s v="MAT_066"/>
    <x v="65"/>
    <x v="0"/>
    <x v="0"/>
    <x v="65"/>
    <x v="4"/>
    <x v="65"/>
    <s v="Concluído"/>
    <n v="9"/>
    <s v="87%"/>
    <x v="0"/>
    <n v="84"/>
    <n v="73"/>
  </r>
  <r>
    <x v="66"/>
    <s v="ASSISTENTE DE OP LOGISTICA II"/>
    <s v="ASSISTENTE"/>
    <s v="MAT_067"/>
    <x v="66"/>
    <x v="0"/>
    <x v="0"/>
    <x v="66"/>
    <x v="14"/>
    <x v="66"/>
    <s v="Concluído"/>
    <n v="9"/>
    <s v="100%"/>
    <x v="1"/>
    <n v="84"/>
    <n v="84"/>
  </r>
  <r>
    <x v="67"/>
    <s v="ANALISTA DE LOGISTICA I"/>
    <s v="PROFISSIONAIS_I"/>
    <s v="MAT_068"/>
    <x v="67"/>
    <x v="2"/>
    <x v="0"/>
    <x v="67"/>
    <x v="15"/>
    <x v="67"/>
    <s v="Concluído"/>
    <n v="9"/>
    <s v="100%"/>
    <x v="1"/>
    <n v="78"/>
    <n v="78"/>
  </r>
  <r>
    <x v="68"/>
    <s v="ASSISTENTE DE OP LOGISTICA II"/>
    <s v="ASSISTENTE"/>
    <s v="MAT_069"/>
    <x v="68"/>
    <x v="3"/>
    <x v="0"/>
    <x v="68"/>
    <x v="11"/>
    <x v="68"/>
    <s v="Concluído"/>
    <n v="9"/>
    <s v="76%"/>
    <x v="0"/>
    <n v="66"/>
    <n v="50"/>
  </r>
  <r>
    <x v="69"/>
    <s v="ASSISTENTE DE OP LOGISTICA III"/>
    <s v="ASSISTENTE"/>
    <s v="MAT_070"/>
    <x v="69"/>
    <x v="6"/>
    <x v="0"/>
    <x v="69"/>
    <x v="0"/>
    <x v="69"/>
    <s v="Concluído"/>
    <n v="9"/>
    <s v="100%"/>
    <x v="1"/>
    <n v="108"/>
    <n v="108"/>
  </r>
  <r>
    <x v="70"/>
    <s v="ANALISTA DE CUSTOMER SERVICE I"/>
    <s v="PROFISSIONAIS_I"/>
    <s v="MAT_071"/>
    <x v="70"/>
    <x v="7"/>
    <x v="2"/>
    <x v="70"/>
    <x v="10"/>
    <x v="70"/>
    <s v="Concluído"/>
    <n v="9"/>
    <s v="100%"/>
    <x v="1"/>
    <n v="80"/>
    <n v="80"/>
  </r>
  <r>
    <x v="71"/>
    <s v="ASSISTENTE DE OP LOGISTICA II"/>
    <s v="ASSISTENTE"/>
    <s v="MAT_072"/>
    <x v="71"/>
    <x v="8"/>
    <x v="0"/>
    <x v="71"/>
    <x v="0"/>
    <x v="71"/>
    <s v="Concluído"/>
    <n v="9"/>
    <s v="100%"/>
    <x v="1"/>
    <n v="108"/>
    <n v="108"/>
  </r>
  <r>
    <x v="72"/>
    <s v="ANALISTA DE CUSTOMER SERVICE I"/>
    <s v="PROFISSIONAIS_I"/>
    <s v="MAT_073"/>
    <x v="72"/>
    <x v="0"/>
    <x v="2"/>
    <x v="72"/>
    <x v="10"/>
    <x v="72"/>
    <s v="Concluído"/>
    <n v="7"/>
    <s v="6%"/>
    <x v="0"/>
    <n v="78"/>
    <n v="5"/>
  </r>
  <r>
    <x v="73"/>
    <s v="ANALISTA DE PLANEJ LOGIST III"/>
    <s v="PROFISSIONAIS_III"/>
    <s v="MAT_074"/>
    <x v="73"/>
    <x v="0"/>
    <x v="1"/>
    <x v="73"/>
    <x v="18"/>
    <x v="73"/>
    <s v="Concluído"/>
    <n v="4"/>
    <s v="100%"/>
    <x v="1"/>
    <n v="75"/>
    <n v="75"/>
  </r>
  <r>
    <x v="74"/>
    <s v="ANALISTA DE CUSTOMER SERVICE II"/>
    <s v="PROFISSIONAIS_II"/>
    <s v="MAT_075"/>
    <x v="74"/>
    <x v="7"/>
    <x v="2"/>
    <x v="74"/>
    <x v="10"/>
    <x v="74"/>
    <s v="Concluído"/>
    <n v="7"/>
    <s v="100%"/>
    <x v="1"/>
    <n v="58"/>
    <n v="58"/>
  </r>
  <r>
    <x v="75"/>
    <s v="ASSISTENTE DE OP LOGISTICA II"/>
    <s v="ASSISTENTE"/>
    <s v="MAT_076"/>
    <x v="75"/>
    <x v="0"/>
    <x v="0"/>
    <x v="75"/>
    <x v="2"/>
    <x v="75"/>
    <s v="Concluído"/>
    <n v="7"/>
    <s v="100%"/>
    <x v="1"/>
    <n v="78"/>
    <n v="78"/>
  </r>
  <r>
    <x v="76"/>
    <s v="ASSISTENTE DE OP LOGISTICA III"/>
    <s v="ASSISTENTE"/>
    <s v="MAT_077"/>
    <x v="76"/>
    <x v="5"/>
    <x v="0"/>
    <x v="76"/>
    <x v="0"/>
    <x v="76"/>
    <s v="Concluído"/>
    <n v="9"/>
    <s v="20%"/>
    <x v="0"/>
    <n v="70"/>
    <n v="14"/>
  </r>
  <r>
    <x v="77"/>
    <s v="COORDENADOR DE LOGISTICA"/>
    <s v="COORDENADOR"/>
    <s v="MAT_078"/>
    <x v="77"/>
    <x v="3"/>
    <x v="0"/>
    <x v="77"/>
    <x v="5"/>
    <x v="77"/>
    <s v="Concluído"/>
    <n v="7"/>
    <s v="33%"/>
    <x v="0"/>
    <n v="98"/>
    <n v="32"/>
  </r>
  <r>
    <x v="78"/>
    <s v="ASSISTENTE DE OP LOGISTICA II"/>
    <s v="ASSISTENTE"/>
    <s v="MAT_079"/>
    <x v="78"/>
    <x v="11"/>
    <x v="0"/>
    <x v="78"/>
    <x v="2"/>
    <x v="78"/>
    <s v="Concluído"/>
    <n v="9"/>
    <s v="100%"/>
    <x v="1"/>
    <n v="86"/>
    <n v="86"/>
  </r>
  <r>
    <x v="79"/>
    <s v="ANALISTA DE PLANEJ LOGIST II"/>
    <s v="PROFISSIONAIS_II"/>
    <s v="MAT_080"/>
    <x v="79"/>
    <x v="0"/>
    <x v="1"/>
    <x v="79"/>
    <x v="18"/>
    <x v="79"/>
    <s v="Concluído"/>
    <n v="8"/>
    <s v="87%"/>
    <x v="0"/>
    <n v="93"/>
    <n v="81"/>
  </r>
  <r>
    <x v="80"/>
    <s v="COORDENADOR DE PLANEJAMENTO LOGISTI"/>
    <s v="COORDENADOR"/>
    <s v="MAT_081"/>
    <x v="80"/>
    <x v="0"/>
    <x v="1"/>
    <x v="80"/>
    <x v="22"/>
    <x v="80"/>
    <s v="Concluído"/>
    <n v="7"/>
    <s v="79%"/>
    <x v="0"/>
    <n v="84"/>
    <n v="66"/>
  </r>
  <r>
    <x v="81"/>
    <s v="ANALISTA DE PLANEJ LOGIST I"/>
    <s v="PROFISSIONAIS_I"/>
    <s v="MAT_082"/>
    <x v="81"/>
    <x v="3"/>
    <x v="1"/>
    <x v="81"/>
    <x v="3"/>
    <x v="81"/>
    <s v="Concluído"/>
    <n v="7"/>
    <s v="28%"/>
    <x v="0"/>
    <n v="78"/>
    <n v="22"/>
  </r>
  <r>
    <x v="82"/>
    <s v="SUPERVISOR DE LOGISTICA"/>
    <s v="SUPERVISOR"/>
    <s v="MAT_083"/>
    <x v="82"/>
    <x v="0"/>
    <x v="0"/>
    <x v="82"/>
    <x v="23"/>
    <x v="82"/>
    <s v="Concluído"/>
    <n v="7"/>
    <s v="100%"/>
    <x v="1"/>
    <n v="66"/>
    <n v="66"/>
  </r>
  <r>
    <x v="83"/>
    <s v="GERENTE REGIONAL DE LOGISTICA"/>
    <s v="GERENTE"/>
    <s v="MAT_084"/>
    <x v="83"/>
    <x v="0"/>
    <x v="0"/>
    <x v="83"/>
    <x v="4"/>
    <x v="83"/>
    <s v="Concluído"/>
    <n v="5"/>
    <s v="100%"/>
    <x v="1"/>
    <n v="62"/>
    <n v="62"/>
  </r>
  <r>
    <x v="84"/>
    <s v="ASSISTENTE ADMINISTRATIVO"/>
    <s v="ASSISTENTE"/>
    <s v="MAT_085"/>
    <x v="84"/>
    <x v="3"/>
    <x v="0"/>
    <x v="84"/>
    <x v="24"/>
    <x v="84"/>
    <s v="Concluído"/>
    <n v="7"/>
    <s v="100%"/>
    <x v="1"/>
    <n v="50"/>
    <n v="50"/>
  </r>
  <r>
    <x v="85"/>
    <s v="ASSISTENTE ADMINISTRATIVO"/>
    <s v="ASSISTENTE"/>
    <s v="MAT_086"/>
    <x v="85"/>
    <x v="3"/>
    <x v="0"/>
    <x v="85"/>
    <x v="5"/>
    <x v="85"/>
    <s v="Concluído"/>
    <n v="9"/>
    <s v="32%"/>
    <x v="0"/>
    <n v="106"/>
    <n v="34"/>
  </r>
  <r>
    <x v="86"/>
    <s v="ESPECIALISTA DE LOGISTICA"/>
    <s v="ESPECIALISTA"/>
    <s v="MAT_087"/>
    <x v="86"/>
    <x v="7"/>
    <x v="0"/>
    <x v="86"/>
    <x v="4"/>
    <x v="86"/>
    <s v="Concluído"/>
    <n v="7"/>
    <s v="100%"/>
    <x v="1"/>
    <n v="66"/>
    <n v="66"/>
  </r>
  <r>
    <x v="87"/>
    <s v="ANALISTA DE PCP PL"/>
    <s v="PROFISSIONAIS_II"/>
    <s v="MAT_088"/>
    <x v="87"/>
    <x v="1"/>
    <x v="1"/>
    <x v="87"/>
    <x v="12"/>
    <x v="87"/>
    <s v="Concluído"/>
    <n v="7"/>
    <s v="100%"/>
    <x v="1"/>
    <n v="58"/>
    <n v="58"/>
  </r>
  <r>
    <x v="88"/>
    <s v="COORDENADOR DE LOGISTICA"/>
    <s v="COORDENADOR"/>
    <s v="MAT_089"/>
    <x v="88"/>
    <x v="0"/>
    <x v="0"/>
    <x v="88"/>
    <x v="0"/>
    <x v="88"/>
    <s v="Concluído"/>
    <n v="5"/>
    <s v="83%"/>
    <x v="0"/>
    <n v="98"/>
    <n v="81"/>
  </r>
  <r>
    <x v="89"/>
    <s v="ANALISTA DE LOGISTICA III"/>
    <s v="PROFISSIONAIS_III"/>
    <s v="MAT_090"/>
    <x v="89"/>
    <x v="0"/>
    <x v="4"/>
    <x v="89"/>
    <x v="25"/>
    <x v="89"/>
    <s v="Concluído"/>
    <n v="18"/>
    <s v="6%"/>
    <x v="0"/>
    <n v="72"/>
    <n v="4"/>
  </r>
  <r>
    <x v="90"/>
    <s v="ASSISTENTE DE OP LOGISTICA II"/>
    <s v="ASSISTENTE"/>
    <s v="MAT_091"/>
    <x v="90"/>
    <x v="0"/>
    <x v="0"/>
    <x v="90"/>
    <x v="26"/>
    <x v="90"/>
    <s v="Concluído"/>
    <n v="9"/>
    <s v="20%"/>
    <x v="0"/>
    <n v="70"/>
    <n v="14"/>
  </r>
  <r>
    <x v="91"/>
    <s v="ASSISTENTE DE CUSTOMER SERVICE"/>
    <s v="ASSISTENTE_ESPECIFICO"/>
    <s v="MAT_092"/>
    <x v="91"/>
    <x v="0"/>
    <x v="2"/>
    <x v="91"/>
    <x v="10"/>
    <x v="91"/>
    <s v="Concluído"/>
    <n v="7"/>
    <s v="14%"/>
    <x v="0"/>
    <n v="64"/>
    <n v="9"/>
  </r>
  <r>
    <x v="92"/>
    <s v="ASSISTENTE DE OP LOGISTICA II"/>
    <s v="ASSISTENTE"/>
    <s v="MAT_093"/>
    <x v="92"/>
    <x v="0"/>
    <x v="1"/>
    <x v="92"/>
    <x v="27"/>
    <x v="92"/>
    <s v="Concluído"/>
    <n v="7"/>
    <s v="76%"/>
    <x v="0"/>
    <n v="58"/>
    <n v="44"/>
  </r>
  <r>
    <x v="93"/>
    <s v="ANALISTA DE LOGISTICA I"/>
    <s v="PROFISSIONAIS_I"/>
    <s v="MAT_094"/>
    <x v="93"/>
    <x v="0"/>
    <x v="0"/>
    <x v="93"/>
    <x v="8"/>
    <x v="93"/>
    <s v="Concluído"/>
    <n v="9"/>
    <s v="69%"/>
    <x v="0"/>
    <n v="114"/>
    <n v="79"/>
  </r>
  <r>
    <x v="94"/>
    <s v="ASSISTENTE DE OP LOGISTICA I"/>
    <s v="ASSISTENTE"/>
    <s v="MAT_095"/>
    <x v="94"/>
    <x v="0"/>
    <x v="0"/>
    <x v="94"/>
    <x v="13"/>
    <x v="94"/>
    <s v="Concluído"/>
    <n v="7"/>
    <s v="29%"/>
    <x v="0"/>
    <n v="72"/>
    <n v="21"/>
  </r>
  <r>
    <x v="95"/>
    <s v="GERENTE DE LOGISTICA"/>
    <s v="GERENTE"/>
    <s v="MAT_096"/>
    <x v="95"/>
    <x v="3"/>
    <x v="0"/>
    <x v="95"/>
    <x v="5"/>
    <x v="95"/>
    <s v="Concluído"/>
    <n v="7"/>
    <s v="37%"/>
    <x v="0"/>
    <n v="82"/>
    <n v="30"/>
  </r>
  <r>
    <x v="96"/>
    <s v="COORDENADOR DE PLANEJAMENTO LOGISTI"/>
    <s v="COORDENADOR"/>
    <s v="MAT_097"/>
    <x v="96"/>
    <x v="0"/>
    <x v="0"/>
    <x v="96"/>
    <x v="11"/>
    <x v="96"/>
    <s v="Concluído"/>
    <n v="7"/>
    <s v="100%"/>
    <x v="1"/>
    <n v="82"/>
    <n v="82"/>
  </r>
  <r>
    <x v="97"/>
    <s v="ANALISTA DE PLANEJ LOGIST I"/>
    <s v="PROFISSIONAIS_I"/>
    <s v="MAT_098"/>
    <x v="97"/>
    <x v="0"/>
    <x v="1"/>
    <x v="97"/>
    <x v="27"/>
    <x v="97"/>
    <s v="Concluído"/>
    <n v="7"/>
    <s v="64%"/>
    <x v="0"/>
    <n v="78"/>
    <n v="50"/>
  </r>
  <r>
    <x v="98"/>
    <s v="ASSISTENTE DE OP LOGISTICA II"/>
    <s v="ASSISTENTE"/>
    <s v="MAT_099"/>
    <x v="98"/>
    <x v="0"/>
    <x v="0"/>
    <x v="98"/>
    <x v="2"/>
    <x v="98"/>
    <s v="Concluído"/>
    <n v="7"/>
    <s v="100%"/>
    <x v="1"/>
    <n v="62"/>
    <n v="62"/>
  </r>
  <r>
    <x v="99"/>
    <s v="ASSISTENTE DE OP LOGISTICA I"/>
    <s v="ASSISTENTE"/>
    <s v="MAT_100"/>
    <x v="99"/>
    <x v="0"/>
    <x v="0"/>
    <x v="99"/>
    <x v="9"/>
    <x v="99"/>
    <s v="Concluído"/>
    <n v="9"/>
    <s v="6%"/>
    <x v="0"/>
    <n v="94"/>
    <n v="6"/>
  </r>
  <r>
    <x v="100"/>
    <s v="ANALISTA DE LOGISTICA II"/>
    <s v="PROFISSIONAIS_II"/>
    <s v="MAT_101"/>
    <x v="100"/>
    <x v="0"/>
    <x v="0"/>
    <x v="100"/>
    <x v="14"/>
    <x v="100"/>
    <s v="Concluído"/>
    <n v="7"/>
    <s v="68%"/>
    <x v="0"/>
    <n v="66"/>
    <n v="45"/>
  </r>
  <r>
    <x v="101"/>
    <s v="ANALISTA DE PCP SR"/>
    <s v="PROFISSIONAIS_III"/>
    <s v="MAT_102"/>
    <x v="101"/>
    <x v="1"/>
    <x v="1"/>
    <x v="101"/>
    <x v="12"/>
    <x v="101"/>
    <s v="Concluído"/>
    <n v="7"/>
    <s v="100%"/>
    <x v="1"/>
    <n v="58"/>
    <n v="58"/>
  </r>
  <r>
    <x v="102"/>
    <s v="ASSISTENTE ADMINISTRATIVO"/>
    <s v="ASSISTENTE"/>
    <s v="MAT_103"/>
    <x v="102"/>
    <x v="3"/>
    <x v="0"/>
    <x v="102"/>
    <x v="0"/>
    <x v="102"/>
    <s v="Concluído"/>
    <n v="9"/>
    <s v="100%"/>
    <x v="1"/>
    <n v="84"/>
    <n v="84"/>
  </r>
  <r>
    <x v="103"/>
    <s v="ASSISTENTE ADMINISTRATIVO"/>
    <s v="ASSISTENTE"/>
    <s v="MAT_104"/>
    <x v="103"/>
    <x v="3"/>
    <x v="0"/>
    <x v="103"/>
    <x v="28"/>
    <x v="103"/>
    <s v="Concluído"/>
    <n v="9"/>
    <s v="100%"/>
    <x v="1"/>
    <n v="120"/>
    <n v="120"/>
  </r>
  <r>
    <x v="104"/>
    <s v="ANALISTA DE LOGISTICA I"/>
    <s v="PROFISSIONAIS_I"/>
    <s v="MAT_105"/>
    <x v="104"/>
    <x v="6"/>
    <x v="0"/>
    <x v="104"/>
    <x v="5"/>
    <x v="104"/>
    <s v="Concluído"/>
    <n v="0"/>
    <s v="100%"/>
    <x v="1"/>
    <n v="92"/>
    <n v="92"/>
  </r>
  <r>
    <x v="105"/>
    <s v="COORDENADOR DE LOGISTICA"/>
    <s v="COORDENADOR"/>
    <s v="MAT_106"/>
    <x v="105"/>
    <x v="5"/>
    <x v="0"/>
    <x v="105"/>
    <x v="0"/>
    <x v="105"/>
    <s v="Concluído"/>
    <n v="7"/>
    <s v="9%"/>
    <x v="0"/>
    <n v="98"/>
    <n v="9"/>
  </r>
  <r>
    <x v="106"/>
    <s v="ASSISTENTE DE OP LOGISTICA II"/>
    <s v="ASSISTENTE"/>
    <s v="MAT_107"/>
    <x v="106"/>
    <x v="9"/>
    <x v="0"/>
    <x v="106"/>
    <x v="2"/>
    <x v="106"/>
    <s v="Concluído"/>
    <n v="9"/>
    <s v="100%"/>
    <x v="1"/>
    <n v="110"/>
    <n v="110"/>
  </r>
  <r>
    <x v="107"/>
    <s v="GERENTE DE PLANEJ LOGISTICO"/>
    <s v="GERENTE"/>
    <s v="MAT_108"/>
    <x v="107"/>
    <x v="0"/>
    <x v="0"/>
    <x v="107"/>
    <x v="11"/>
    <x v="107"/>
    <s v="Concluído"/>
    <n v="6"/>
    <s v="55%"/>
    <x v="0"/>
    <n v="65"/>
    <n v="36"/>
  </r>
  <r>
    <x v="108"/>
    <s v="ASSISTENTE DE OP LOGISTICA III"/>
    <s v="ASSISTENTE"/>
    <s v="MAT_109"/>
    <x v="108"/>
    <x v="4"/>
    <x v="0"/>
    <x v="108"/>
    <x v="4"/>
    <x v="108"/>
    <s v="Concluído"/>
    <n v="7"/>
    <s v="100%"/>
    <x v="1"/>
    <n v="74"/>
    <n v="74"/>
  </r>
  <r>
    <x v="109"/>
    <s v="ASSISTENTE DE OP LOGISTICA II"/>
    <s v="ASSISTENTE"/>
    <s v="MAT_110"/>
    <x v="109"/>
    <x v="0"/>
    <x v="0"/>
    <x v="109"/>
    <x v="6"/>
    <x v="109"/>
    <s v="Concluído"/>
    <n v="7"/>
    <s v="100%"/>
    <x v="1"/>
    <n v="58"/>
    <n v="58"/>
  </r>
  <r>
    <x v="110"/>
    <s v="COORDENADOR DE LOGISTICA"/>
    <s v="COORDENADOR"/>
    <s v="MAT_111"/>
    <x v="110"/>
    <x v="12"/>
    <x v="0"/>
    <x v="110"/>
    <x v="2"/>
    <x v="110"/>
    <s v="Concluído"/>
    <n v="7"/>
    <s v="100%"/>
    <x v="1"/>
    <n v="99"/>
    <n v="99"/>
  </r>
  <r>
    <x v="111"/>
    <s v="COORDENADOR DE LOGISTICA"/>
    <s v="COORDENADOR"/>
    <s v="MAT_112"/>
    <x v="111"/>
    <x v="13"/>
    <x v="0"/>
    <x v="111"/>
    <x v="5"/>
    <x v="111"/>
    <s v="Concluído"/>
    <n v="7"/>
    <s v="100%"/>
    <x v="1"/>
    <n v="66"/>
    <n v="66"/>
  </r>
  <r>
    <x v="112"/>
    <s v="COORDENADOR DE LOGISTICA"/>
    <s v="COORDENADOR"/>
    <s v="MAT_113"/>
    <x v="112"/>
    <x v="6"/>
    <x v="0"/>
    <x v="112"/>
    <x v="5"/>
    <x v="112"/>
    <s v="Concluído"/>
    <n v="7"/>
    <s v="48%"/>
    <x v="0"/>
    <n v="84"/>
    <n v="40"/>
  </r>
  <r>
    <x v="113"/>
    <s v="ANALISTA DE LOGISTICA I"/>
    <s v="PROFISSIONAIS_I"/>
    <s v="MAT_114"/>
    <x v="113"/>
    <x v="7"/>
    <x v="0"/>
    <x v="113"/>
    <x v="4"/>
    <x v="113"/>
    <s v="Concluído"/>
    <n v="7"/>
    <s v="91%"/>
    <x v="0"/>
    <n v="82"/>
    <n v="75"/>
  </r>
  <r>
    <x v="114"/>
    <s v="ASSISTENTE DE OP LOGISTICA III"/>
    <s v="ASSISTENTE"/>
    <s v="MAT_115"/>
    <x v="114"/>
    <x v="7"/>
    <x v="0"/>
    <x v="114"/>
    <x v="4"/>
    <x v="114"/>
    <s v="Concluído"/>
    <n v="7"/>
    <s v="100%"/>
    <x v="1"/>
    <n v="98"/>
    <n v="98"/>
  </r>
  <r>
    <x v="115"/>
    <s v="ASSISTENTE ADMINISTRATIVO"/>
    <s v="ASSISTENTE"/>
    <s v="MAT_116"/>
    <x v="115"/>
    <x v="6"/>
    <x v="0"/>
    <x v="115"/>
    <x v="6"/>
    <x v="115"/>
    <s v="Concluído"/>
    <n v="7"/>
    <s v="38%"/>
    <x v="0"/>
    <n v="58"/>
    <n v="22"/>
  </r>
  <r>
    <x v="116"/>
    <s v="ASSISTENTE ADMINISTRATIVO"/>
    <s v="ASSISTENTE"/>
    <s v="MAT_117"/>
    <x v="116"/>
    <x v="3"/>
    <x v="0"/>
    <x v="116"/>
    <x v="15"/>
    <x v="116"/>
    <s v="Concluído"/>
    <n v="9"/>
    <s v="56%"/>
    <x v="0"/>
    <n v="120"/>
    <n v="67"/>
  </r>
  <r>
    <x v="117"/>
    <s v="COORDENADOR DE LOGISTICA"/>
    <s v="COORDENADOR"/>
    <s v="MAT_118"/>
    <x v="117"/>
    <x v="3"/>
    <x v="0"/>
    <x v="117"/>
    <x v="15"/>
    <x v="117"/>
    <s v="Concluído"/>
    <n v="7"/>
    <s v="100%"/>
    <x v="1"/>
    <n v="66"/>
    <n v="66"/>
  </r>
  <r>
    <x v="118"/>
    <s v="COORDENADOR DE CUSTOMER SERVICE"/>
    <s v="COORDENADOR"/>
    <s v="MAT_119"/>
    <x v="118"/>
    <x v="7"/>
    <x v="2"/>
    <x v="118"/>
    <x v="10"/>
    <x v="118"/>
    <s v="Concluído"/>
    <n v="7"/>
    <s v="100%"/>
    <x v="1"/>
    <n v="52"/>
    <n v="52"/>
  </r>
  <r>
    <x v="119"/>
    <s v="SUPERVISOR DE LOGISTICA"/>
    <s v="SUPERVISOR"/>
    <s v="MAT_120"/>
    <x v="119"/>
    <x v="0"/>
    <x v="0"/>
    <x v="119"/>
    <x v="29"/>
    <x v="119"/>
    <s v="Concluído"/>
    <n v="7"/>
    <s v="31%"/>
    <x v="0"/>
    <n v="84"/>
    <n v="26"/>
  </r>
  <r>
    <x v="120"/>
    <s v="ANALISTA DE LOGISTICA I"/>
    <s v="PROFISSIONAIS_I"/>
    <s v="MAT_121"/>
    <x v="120"/>
    <x v="2"/>
    <x v="0"/>
    <x v="120"/>
    <x v="2"/>
    <x v="120"/>
    <s v="Concluído"/>
    <n v="9"/>
    <s v="100%"/>
    <x v="1"/>
    <n v="70"/>
    <n v="70"/>
  </r>
  <r>
    <x v="121"/>
    <s v="ASSISTENTE DE OPERAÇÕES LOGÍSTICAS II"/>
    <s v="ASSISTENTE"/>
    <s v="MAT_122"/>
    <x v="121"/>
    <x v="1"/>
    <x v="0"/>
    <x v="121"/>
    <x v="30"/>
    <x v="121"/>
    <s v="Concluído"/>
    <n v="9"/>
    <s v="40%"/>
    <x v="0"/>
    <n v="78"/>
    <n v="31"/>
  </r>
  <r>
    <x v="122"/>
    <s v="ASSISTENTE DE OP LOGISTICA II"/>
    <s v="ASSISTENTE"/>
    <s v="MAT_123"/>
    <x v="122"/>
    <x v="0"/>
    <x v="0"/>
    <x v="122"/>
    <x v="4"/>
    <x v="122"/>
    <s v="Concluído"/>
    <n v="9"/>
    <s v="63%"/>
    <x v="0"/>
    <n v="120"/>
    <n v="75"/>
  </r>
  <r>
    <x v="123"/>
    <s v="ASSISTENTE DE OP LOGISTICA II"/>
    <s v="ASSISTENTE"/>
    <s v="MAT_124"/>
    <x v="123"/>
    <x v="0"/>
    <x v="0"/>
    <x v="123"/>
    <x v="6"/>
    <x v="123"/>
    <s v="Concluído"/>
    <n v="7"/>
    <s v="100%"/>
    <x v="1"/>
    <n v="58"/>
    <n v="58"/>
  </r>
  <r>
    <x v="124"/>
    <s v="ANALISTA DE LOGISTICA II"/>
    <s v="PROFISSIONAIS_II"/>
    <s v="MAT_125"/>
    <x v="124"/>
    <x v="0"/>
    <x v="0"/>
    <x v="124"/>
    <x v="11"/>
    <x v="124"/>
    <s v="Concluído"/>
    <n v="7"/>
    <s v="100%"/>
    <x v="1"/>
    <n v="118"/>
    <n v="118"/>
  </r>
  <r>
    <x v="125"/>
    <s v="SUPERVISOR DE LOGISTICA"/>
    <s v="SUPERVISOR"/>
    <s v="MAT_126"/>
    <x v="125"/>
    <x v="4"/>
    <x v="0"/>
    <x v="125"/>
    <x v="2"/>
    <x v="125"/>
    <s v="Concluído"/>
    <n v="7"/>
    <s v="100%"/>
    <x v="1"/>
    <n v="100"/>
    <n v="100"/>
  </r>
  <r>
    <x v="126"/>
    <s v="ASSISTENTE DE OP LOGISTICA I"/>
    <s v="ASSISTENTE"/>
    <s v="MAT_127"/>
    <x v="126"/>
    <x v="2"/>
    <x v="0"/>
    <x v="126"/>
    <x v="2"/>
    <x v="126"/>
    <s v="Concluído"/>
    <n v="9"/>
    <s v="100%"/>
    <x v="1"/>
    <n v="87"/>
    <n v="87"/>
  </r>
  <r>
    <x v="127"/>
    <s v="ASSISTENTE DE CUSTOMER SERVICE"/>
    <s v="ASSISTENTE_ESPECIFICO"/>
    <s v="MAT_128"/>
    <x v="127"/>
    <x v="7"/>
    <x v="2"/>
    <x v="127"/>
    <x v="10"/>
    <x v="127"/>
    <s v="Concluído"/>
    <n v="7"/>
    <s v="38%"/>
    <x v="0"/>
    <n v="58"/>
    <n v="22"/>
  </r>
  <r>
    <x v="128"/>
    <s v="ANALISTA DE PLANEJ LOGIST I"/>
    <s v="PROFISSIONAIS_I"/>
    <s v="MAT_129"/>
    <x v="128"/>
    <x v="0"/>
    <x v="0"/>
    <x v="128"/>
    <x v="11"/>
    <x v="128"/>
    <s v="Concluído"/>
    <n v="9"/>
    <s v="34%"/>
    <x v="0"/>
    <n v="86"/>
    <n v="29"/>
  </r>
  <r>
    <x v="129"/>
    <s v="ASSISTENTE DE OP LOGISTICA II"/>
    <s v="ASSISTENTE"/>
    <s v="MAT_130"/>
    <x v="129"/>
    <x v="0"/>
    <x v="0"/>
    <x v="129"/>
    <x v="6"/>
    <x v="129"/>
    <s v="Concluído"/>
    <n v="7"/>
    <s v="42%"/>
    <x v="0"/>
    <n v="64"/>
    <n v="27"/>
  </r>
  <r>
    <x v="130"/>
    <s v="SUPERVISOR DE LOGISTICA"/>
    <s v="SUPERVISOR"/>
    <s v="MAT_131"/>
    <x v="130"/>
    <x v="3"/>
    <x v="0"/>
    <x v="130"/>
    <x v="7"/>
    <x v="130"/>
    <s v="Concluído"/>
    <n v="0"/>
    <s v="50%"/>
    <x v="0"/>
    <n v="84"/>
    <n v="42"/>
  </r>
  <r>
    <x v="131"/>
    <s v="ASSISTENTE ADMINISTRATIVO"/>
    <s v="ASSISTENTE"/>
    <s v="MAT_132"/>
    <x v="131"/>
    <x v="3"/>
    <x v="0"/>
    <x v="131"/>
    <x v="0"/>
    <x v="131"/>
    <s v="Concluído"/>
    <n v="7"/>
    <s v="100%"/>
    <x v="1"/>
    <n v="50"/>
    <n v="50"/>
  </r>
  <r>
    <x v="132"/>
    <s v="ASSISTENTE DE OP LOGISTICA I"/>
    <s v="ASSISTENTE"/>
    <s v="MAT_133"/>
    <x v="132"/>
    <x v="2"/>
    <x v="0"/>
    <x v="132"/>
    <x v="0"/>
    <x v="132"/>
    <s v="Concluído"/>
    <n v="9"/>
    <s v="63%"/>
    <x v="0"/>
    <n v="70"/>
    <n v="44"/>
  </r>
  <r>
    <x v="133"/>
    <s v="ANALISTA DE PLANEJ LOGIST II"/>
    <s v="PROFISSIONAIS_II"/>
    <s v="MAT_134"/>
    <x v="133"/>
    <x v="7"/>
    <x v="1"/>
    <x v="133"/>
    <x v="3"/>
    <x v="133"/>
    <s v="Concluído"/>
    <n v="7"/>
    <s v="100%"/>
    <x v="1"/>
    <n v="78"/>
    <n v="78"/>
  </r>
  <r>
    <x v="134"/>
    <s v="ASSISTENTE DE OP LOGISTICA I"/>
    <s v="ASSISTENTE"/>
    <s v="MAT_135"/>
    <x v="134"/>
    <x v="2"/>
    <x v="0"/>
    <x v="134"/>
    <x v="11"/>
    <x v="134"/>
    <s v="Concluído"/>
    <n v="7"/>
    <s v="100%"/>
    <x v="1"/>
    <n v="66"/>
    <n v="66"/>
  </r>
  <r>
    <x v="135"/>
    <s v="ASSISTENTE ADMINISTRATIVO I"/>
    <s v="ASSISTENTE"/>
    <s v="MAT_136"/>
    <x v="135"/>
    <x v="2"/>
    <x v="0"/>
    <x v="135"/>
    <x v="15"/>
    <x v="135"/>
    <s v="Concluído"/>
    <n v="9"/>
    <s v="40%"/>
    <x v="0"/>
    <n v="78"/>
    <n v="31"/>
  </r>
  <r>
    <x v="136"/>
    <s v="COORDENADOR DE LOGISTICA"/>
    <s v="COORDENADOR"/>
    <s v="MAT_137"/>
    <x v="136"/>
    <x v="7"/>
    <x v="0"/>
    <x v="136"/>
    <x v="2"/>
    <x v="136"/>
    <s v="Concluído"/>
    <n v="7"/>
    <s v="100%"/>
    <x v="1"/>
    <n v="98"/>
    <n v="98"/>
  </r>
  <r>
    <x v="137"/>
    <s v="ASSISTENTE DE OP LOGISTICA I"/>
    <s v="ASSISTENTE"/>
    <s v="MAT_138"/>
    <x v="137"/>
    <x v="8"/>
    <x v="0"/>
    <x v="137"/>
    <x v="0"/>
    <x v="137"/>
    <s v="Concluído"/>
    <n v="9"/>
    <s v="93%"/>
    <x v="0"/>
    <n v="117"/>
    <n v="109"/>
  </r>
  <r>
    <x v="138"/>
    <s v="ANALISTA DE CUSTOMER SERVICE III"/>
    <s v="PROFISSIONAIS_III"/>
    <s v="MAT_139"/>
    <x v="138"/>
    <x v="7"/>
    <x v="2"/>
    <x v="138"/>
    <x v="20"/>
    <x v="138"/>
    <s v="Concluído"/>
    <n v="9"/>
    <s v="100%"/>
    <x v="1"/>
    <n v="80"/>
    <n v="80"/>
  </r>
  <r>
    <x v="139"/>
    <s v="ASSISTENTE DE OP LOGISTICA III"/>
    <s v="ASSISTENTE"/>
    <s v="MAT_140"/>
    <x v="139"/>
    <x v="4"/>
    <x v="0"/>
    <x v="139"/>
    <x v="4"/>
    <x v="139"/>
    <s v="Concluído"/>
    <n v="9"/>
    <s v="100%"/>
    <x v="1"/>
    <n v="94"/>
    <n v="94"/>
  </r>
  <r>
    <x v="140"/>
    <s v="ANALISTA DE LOGISTICA I"/>
    <s v="PROFISSIONAIS_I"/>
    <s v="MAT_141"/>
    <x v="140"/>
    <x v="14"/>
    <x v="0"/>
    <x v="140"/>
    <x v="31"/>
    <x v="140"/>
    <s v="Concluído"/>
    <n v="7"/>
    <s v="100%"/>
    <x v="1"/>
    <n v="104"/>
    <n v="104"/>
  </r>
  <r>
    <x v="141"/>
    <s v="ASSISTENTE DE OP LOGISTICA II"/>
    <s v="ASSISTENTE"/>
    <s v="MAT_142"/>
    <x v="141"/>
    <x v="5"/>
    <x v="0"/>
    <x v="141"/>
    <x v="6"/>
    <x v="141"/>
    <s v="Concluído"/>
    <n v="9"/>
    <s v="100%"/>
    <x v="1"/>
    <n v="106"/>
    <n v="106"/>
  </r>
  <r>
    <x v="142"/>
    <s v="ASSISTENTE DE OP LOGISTICA II"/>
    <s v="ASSISTENTE"/>
    <s v="MAT_143"/>
    <x v="142"/>
    <x v="5"/>
    <x v="0"/>
    <x v="142"/>
    <x v="6"/>
    <x v="142"/>
    <s v="Concluído"/>
    <n v="9"/>
    <s v="100%"/>
    <x v="1"/>
    <n v="106"/>
    <n v="106"/>
  </r>
  <r>
    <x v="143"/>
    <s v="ASSISTENTE DE OP LOGISTICA II"/>
    <s v="ASSISTENTE"/>
    <s v="MAT_144"/>
    <x v="143"/>
    <x v="5"/>
    <x v="0"/>
    <x v="143"/>
    <x v="6"/>
    <x v="143"/>
    <s v="Concluído"/>
    <n v="9"/>
    <s v="100%"/>
    <x v="1"/>
    <n v="94"/>
    <n v="94"/>
  </r>
  <r>
    <x v="144"/>
    <s v="ANALISTA DE PLANEJ LOGIST I"/>
    <s v="PROFISSIONAIS_I"/>
    <s v="MAT_145"/>
    <x v="144"/>
    <x v="3"/>
    <x v="1"/>
    <x v="144"/>
    <x v="3"/>
    <x v="144"/>
    <s v="Concluído"/>
    <n v="7"/>
    <s v="100%"/>
    <x v="1"/>
    <n v="62"/>
    <n v="62"/>
  </r>
  <r>
    <x v="145"/>
    <s v="ASSISTENTE ADMINISTRATIVO"/>
    <s v="ASSISTENTE"/>
    <s v="MAT_146"/>
    <x v="145"/>
    <x v="3"/>
    <x v="0"/>
    <x v="145"/>
    <x v="0"/>
    <x v="145"/>
    <s v="Concluído"/>
    <n v="7"/>
    <s v="100%"/>
    <x v="1"/>
    <n v="62"/>
    <n v="62"/>
  </r>
  <r>
    <x v="146"/>
    <s v="ANALISTA DE LOGISTICA II"/>
    <s v="PROFISSIONAIS_II"/>
    <s v="MAT_147"/>
    <x v="146"/>
    <x v="0"/>
    <x v="0"/>
    <x v="146"/>
    <x v="4"/>
    <x v="146"/>
    <s v="Concluído"/>
    <n v="9"/>
    <s v="100%"/>
    <x v="1"/>
    <n v="114"/>
    <n v="114"/>
  </r>
  <r>
    <x v="147"/>
    <s v="ANALISTA DE LOGISTICA II"/>
    <s v="PROFISSIONAIS_II"/>
    <s v="MAT_148"/>
    <x v="147"/>
    <x v="0"/>
    <x v="0"/>
    <x v="147"/>
    <x v="2"/>
    <x v="147"/>
    <s v="Concluído"/>
    <n v="9"/>
    <s v="100%"/>
    <x v="1"/>
    <n v="120"/>
    <n v="120"/>
  </r>
  <r>
    <x v="148"/>
    <s v="ESPECIALISTA DE LOGISTICA"/>
    <s v="ESPECIALISTA"/>
    <s v="MAT_149"/>
    <x v="148"/>
    <x v="7"/>
    <x v="1"/>
    <x v="148"/>
    <x v="3"/>
    <x v="148"/>
    <s v="Concluído"/>
    <n v="5"/>
    <s v="100%"/>
    <x v="1"/>
    <n v="62"/>
    <n v="62"/>
  </r>
  <r>
    <x v="149"/>
    <s v="SUPERVISOR DE LOGISTICA"/>
    <s v="SUPERVISOR"/>
    <s v="MAT_150"/>
    <x v="149"/>
    <x v="0"/>
    <x v="0"/>
    <x v="149"/>
    <x v="14"/>
    <x v="149"/>
    <s v="Concluído"/>
    <n v="7"/>
    <s v="72%"/>
    <x v="0"/>
    <n v="82"/>
    <n v="59"/>
  </r>
  <r>
    <x v="150"/>
    <s v="ASSISTENTE DE OP LOGISTICA II"/>
    <s v="ASSISTENTE"/>
    <s v="MAT_151"/>
    <x v="150"/>
    <x v="6"/>
    <x v="0"/>
    <x v="150"/>
    <x v="21"/>
    <x v="150"/>
    <s v="Concluído"/>
    <n v="9"/>
    <s v="94%"/>
    <x v="0"/>
    <n v="84"/>
    <n v="79"/>
  </r>
  <r>
    <x v="151"/>
    <s v="ASSISTENTE DE OP LOGISTICA II"/>
    <s v="ASSISTENTE"/>
    <s v="MAT_152"/>
    <x v="151"/>
    <x v="0"/>
    <x v="0"/>
    <x v="151"/>
    <x v="13"/>
    <x v="151"/>
    <s v="Concluído"/>
    <n v="9"/>
    <s v="50%"/>
    <x v="0"/>
    <n v="80"/>
    <n v="40"/>
  </r>
  <r>
    <x v="152"/>
    <s v="SUPERVISOR DE LOGISTICA"/>
    <s v="SUPERVISOR"/>
    <s v="MAT_153"/>
    <x v="152"/>
    <x v="0"/>
    <x v="0"/>
    <x v="152"/>
    <x v="2"/>
    <x v="152"/>
    <s v="Concluído"/>
    <n v="7"/>
    <s v="100%"/>
    <x v="1"/>
    <n v="82"/>
    <n v="82"/>
  </r>
  <r>
    <x v="153"/>
    <s v="ASSISTENTE DE OP LOGISTICA III"/>
    <s v="ASSISTENTE"/>
    <s v="MAT_154"/>
    <x v="153"/>
    <x v="0"/>
    <x v="0"/>
    <x v="153"/>
    <x v="2"/>
    <x v="153"/>
    <s v="Concluído"/>
    <n v="7"/>
    <s v="100%"/>
    <x v="1"/>
    <n v="50"/>
    <n v="50"/>
  </r>
  <r>
    <x v="154"/>
    <s v="SUPERVISOR EXPEDICAO"/>
    <s v="SUPERVISOR"/>
    <s v="MAT_155"/>
    <x v="154"/>
    <x v="0"/>
    <x v="0"/>
    <x v="154"/>
    <x v="21"/>
    <x v="154"/>
    <s v="Concluído"/>
    <n v="7"/>
    <s v="100%"/>
    <x v="1"/>
    <n v="84"/>
    <n v="84"/>
  </r>
  <r>
    <x v="155"/>
    <s v="ANALISTA DE CUSTOMER SERVICE I"/>
    <s v="PROFISSIONAIS_I"/>
    <s v="MAT_156"/>
    <x v="155"/>
    <x v="0"/>
    <x v="2"/>
    <x v="155"/>
    <x v="10"/>
    <x v="155"/>
    <s v="Concluído"/>
    <n v="7"/>
    <s v="100%"/>
    <x v="1"/>
    <n v="62"/>
    <n v="62"/>
  </r>
  <r>
    <x v="156"/>
    <s v="ASSISTENTE DE OP LOGISTICA I"/>
    <s v="ASSISTENTE"/>
    <s v="MAT_157"/>
    <x v="156"/>
    <x v="0"/>
    <x v="0"/>
    <x v="156"/>
    <x v="0"/>
    <x v="156"/>
    <s v="Concluído"/>
    <n v="9"/>
    <s v="100%"/>
    <x v="1"/>
    <n v="84"/>
    <n v="84"/>
  </r>
  <r>
    <x v="157"/>
    <s v="SUPERVISOR DE LOGISTICA"/>
    <s v="SUPERVISOR"/>
    <s v="MAT_158"/>
    <x v="157"/>
    <x v="0"/>
    <x v="0"/>
    <x v="157"/>
    <x v="2"/>
    <x v="157"/>
    <s v="Concluído"/>
    <n v="7"/>
    <s v="28%"/>
    <x v="0"/>
    <n v="78"/>
    <n v="22"/>
  </r>
  <r>
    <x v="158"/>
    <s v="SUPERVISOR EXPEDICAO"/>
    <s v="SUPERVISOR"/>
    <s v="MAT_159"/>
    <x v="158"/>
    <x v="0"/>
    <x v="0"/>
    <x v="158"/>
    <x v="21"/>
    <x v="158"/>
    <s v="Concluído"/>
    <n v="7"/>
    <s v="77%"/>
    <x v="0"/>
    <n v="70"/>
    <n v="54"/>
  </r>
  <r>
    <x v="159"/>
    <s v="ASSISTENTE DE OP LOGISTICA I"/>
    <s v="ASSISTENTE"/>
    <s v="MAT_160"/>
    <x v="159"/>
    <x v="0"/>
    <x v="0"/>
    <x v="159"/>
    <x v="6"/>
    <x v="159"/>
    <s v="Concluído"/>
    <n v="9"/>
    <s v="63%"/>
    <x v="0"/>
    <n v="86"/>
    <n v="54"/>
  </r>
  <r>
    <x v="160"/>
    <s v="ASSISTENTE DE OP LOGISTICA II"/>
    <s v="ASSISTENTE"/>
    <s v="MAT_161"/>
    <x v="160"/>
    <x v="0"/>
    <x v="0"/>
    <x v="160"/>
    <x v="2"/>
    <x v="160"/>
    <s v="Concluído"/>
    <n v="9"/>
    <s v="93%"/>
    <x v="0"/>
    <n v="104"/>
    <n v="97"/>
  </r>
  <r>
    <x v="161"/>
    <s v="ASSISTENTE DE OP LOGISTICA I"/>
    <s v="ASSISTENTE"/>
    <s v="MAT_162"/>
    <x v="161"/>
    <x v="13"/>
    <x v="0"/>
    <x v="161"/>
    <x v="2"/>
    <x v="161"/>
    <s v="Concluído"/>
    <n v="9"/>
    <s v="100%"/>
    <x v="1"/>
    <n v="106"/>
    <n v="106"/>
  </r>
  <r>
    <x v="162"/>
    <s v="COORDENADOR DE LOGISTICA"/>
    <s v="COORDENADOR"/>
    <s v="MAT_163"/>
    <x v="162"/>
    <x v="2"/>
    <x v="0"/>
    <x v="162"/>
    <x v="26"/>
    <x v="162"/>
    <s v="Concluído"/>
    <n v="7"/>
    <s v="100%"/>
    <x v="1"/>
    <n v="66"/>
    <n v="66"/>
  </r>
  <r>
    <x v="163"/>
    <s v="ASSISTENTE DE OP LOGISTICA III"/>
    <s v="ASSISTENTE"/>
    <s v="MAT_164"/>
    <x v="163"/>
    <x v="0"/>
    <x v="4"/>
    <x v="163"/>
    <x v="25"/>
    <x v="163"/>
    <s v="Concluído"/>
    <n v="9"/>
    <s v="74%"/>
    <x v="0"/>
    <n v="80"/>
    <n v="59"/>
  </r>
  <r>
    <x v="164"/>
    <s v="ASSISTENTE DE OP LOGISTICA I"/>
    <s v="ASSISTENTE"/>
    <s v="MAT_165"/>
    <x v="164"/>
    <x v="0"/>
    <x v="0"/>
    <x v="164"/>
    <x v="4"/>
    <x v="164"/>
    <s v="Concluído"/>
    <n v="9"/>
    <s v="100%"/>
    <x v="1"/>
    <n v="84"/>
    <n v="84"/>
  </r>
  <r>
    <x v="165"/>
    <s v="ASSISTENTE DE OP LOGISTICA II"/>
    <s v="ASSISTENTE"/>
    <s v="MAT_166"/>
    <x v="165"/>
    <x v="0"/>
    <x v="0"/>
    <x v="165"/>
    <x v="13"/>
    <x v="165"/>
    <s v="Concluído"/>
    <n v="9"/>
    <s v="39%"/>
    <x v="0"/>
    <n v="100"/>
    <n v="39"/>
  </r>
  <r>
    <x v="166"/>
    <s v="ASSISTENTE DE OP LOGISTICA II"/>
    <s v="ASSISTENTE"/>
    <s v="MAT_167"/>
    <x v="166"/>
    <x v="0"/>
    <x v="0"/>
    <x v="166"/>
    <x v="2"/>
    <x v="166"/>
    <s v="Concluído"/>
    <n v="7"/>
    <s v="100%"/>
    <x v="1"/>
    <n v="84"/>
    <n v="84"/>
  </r>
  <r>
    <x v="167"/>
    <s v="ASSISTENTE DE OP LOGISTICA II"/>
    <s v="ASSISTENTE"/>
    <s v="MAT_168"/>
    <x v="167"/>
    <x v="0"/>
    <x v="0"/>
    <x v="167"/>
    <x v="14"/>
    <x v="167"/>
    <s v="Concluído"/>
    <n v="9"/>
    <s v="100%"/>
    <x v="1"/>
    <n v="84"/>
    <n v="84"/>
  </r>
  <r>
    <x v="168"/>
    <s v="ASSISTENTE DE OP LOGISTICA III"/>
    <s v="ASSISTENTE"/>
    <s v="MAT_169"/>
    <x v="168"/>
    <x v="4"/>
    <x v="0"/>
    <x v="168"/>
    <x v="2"/>
    <x v="168"/>
    <s v="Concluído"/>
    <n v="9"/>
    <s v="100%"/>
    <x v="1"/>
    <n v="94"/>
    <n v="94"/>
  </r>
  <r>
    <x v="169"/>
    <s v="SUPERVISOR DE LOGISTICA"/>
    <s v="SUPERVISOR"/>
    <s v="MAT_170"/>
    <x v="169"/>
    <x v="6"/>
    <x v="0"/>
    <x v="169"/>
    <x v="0"/>
    <x v="169"/>
    <s v="Concluído"/>
    <n v="7"/>
    <s v="11%"/>
    <x v="0"/>
    <n v="98"/>
    <n v="11"/>
  </r>
  <r>
    <x v="170"/>
    <s v="ASSISTENTE ADMINISTRATIVO"/>
    <s v="ASSISTENTE"/>
    <s v="MAT_171"/>
    <x v="170"/>
    <x v="3"/>
    <x v="0"/>
    <x v="170"/>
    <x v="15"/>
    <x v="170"/>
    <s v="Concluído"/>
    <n v="9"/>
    <s v="100%"/>
    <x v="1"/>
    <n v="106"/>
    <n v="106"/>
  </r>
  <r>
    <x v="171"/>
    <s v="ANALISTA DE PLANEJ LOGIST II"/>
    <s v="PROFISSIONAIS_II"/>
    <s v="MAT_172"/>
    <x v="171"/>
    <x v="0"/>
    <x v="1"/>
    <x v="171"/>
    <x v="27"/>
    <x v="171"/>
    <s v="Concluído"/>
    <n v="5"/>
    <s v="100%"/>
    <x v="1"/>
    <n v="72"/>
    <n v="72"/>
  </r>
  <r>
    <x v="172"/>
    <s v="COORDENADOR DE LOGISTICA"/>
    <s v="COORDENADOR"/>
    <s v="MAT_173"/>
    <x v="172"/>
    <x v="0"/>
    <x v="0"/>
    <x v="172"/>
    <x v="5"/>
    <x v="172"/>
    <s v="Concluído"/>
    <n v="7"/>
    <s v="85%"/>
    <x v="0"/>
    <n v="82"/>
    <n v="70"/>
  </r>
  <r>
    <x v="173"/>
    <s v="ANALISTA DE PLANEJ LOGIST I"/>
    <s v="PROFISSIONAIS_I"/>
    <s v="MAT_174"/>
    <x v="173"/>
    <x v="0"/>
    <x v="0"/>
    <x v="173"/>
    <x v="11"/>
    <x v="173"/>
    <s v="Concluído"/>
    <n v="9"/>
    <s v="11%"/>
    <x v="0"/>
    <n v="70"/>
    <n v="8"/>
  </r>
  <r>
    <x v="174"/>
    <s v="SUPERVISOR DE LOGISTICA"/>
    <s v="SUPERVISOR"/>
    <s v="MAT_175"/>
    <x v="174"/>
    <x v="3"/>
    <x v="0"/>
    <x v="174"/>
    <x v="32"/>
    <x v="174"/>
    <s v="Concluído"/>
    <n v="7"/>
    <s v="100%"/>
    <x v="1"/>
    <n v="98"/>
    <n v="98"/>
  </r>
  <r>
    <x v="175"/>
    <s v="SUPERVISOR DE LOGISTICA"/>
    <s v="SUPERVISOR"/>
    <s v="MAT_176"/>
    <x v="175"/>
    <x v="7"/>
    <x v="0"/>
    <x v="175"/>
    <x v="2"/>
    <x v="175"/>
    <s v="Concluído"/>
    <n v="7"/>
    <s v="74%"/>
    <x v="0"/>
    <n v="98"/>
    <n v="73"/>
  </r>
  <r>
    <x v="176"/>
    <s v="ASSISTENTE ADMINISTRATIVO"/>
    <s v="ASSISTENTE"/>
    <s v="MAT_177"/>
    <x v="176"/>
    <x v="6"/>
    <x v="0"/>
    <x v="176"/>
    <x v="6"/>
    <x v="176"/>
    <s v="Concluído"/>
    <n v="9"/>
    <s v="100%"/>
    <x v="1"/>
    <n v="74"/>
    <n v="74"/>
  </r>
  <r>
    <x v="177"/>
    <s v="ANALISTA DE LOGISTICA I"/>
    <s v="PROFISSIONAIS_I"/>
    <s v="MAT_178"/>
    <x v="177"/>
    <x v="0"/>
    <x v="0"/>
    <x v="177"/>
    <x v="14"/>
    <x v="177"/>
    <s v="Concluído"/>
    <n v="9"/>
    <s v="81%"/>
    <x v="0"/>
    <n v="106"/>
    <n v="86"/>
  </r>
  <r>
    <x v="178"/>
    <s v="ASSISTENTE DE OP LOGISTICA I"/>
    <s v="ASSISTENTE"/>
    <s v="MAT_179"/>
    <x v="178"/>
    <x v="2"/>
    <x v="0"/>
    <x v="178"/>
    <x v="29"/>
    <x v="178"/>
    <s v="Concluído"/>
    <n v="9"/>
    <s v="100%"/>
    <x v="1"/>
    <n v="72"/>
    <n v="72"/>
  </r>
  <r>
    <x v="179"/>
    <s v="ANALISTA DE LOGISTICA II"/>
    <s v="PROFISSIONAIS_II"/>
    <s v="MAT_180"/>
    <x v="179"/>
    <x v="0"/>
    <x v="0"/>
    <x v="179"/>
    <x v="4"/>
    <x v="179"/>
    <s v="Concluído"/>
    <n v="7"/>
    <s v="82%"/>
    <x v="0"/>
    <n v="118"/>
    <n v="97"/>
  </r>
  <r>
    <x v="180"/>
    <s v="ASSISTENTE DE OP LOGISTICA I"/>
    <s v="ASSISTENTE"/>
    <s v="MAT_181"/>
    <x v="180"/>
    <x v="8"/>
    <x v="0"/>
    <x v="180"/>
    <x v="6"/>
    <x v="180"/>
    <s v="Concluído"/>
    <n v="9"/>
    <s v="100%"/>
    <x v="1"/>
    <n v="106"/>
    <n v="106"/>
  </r>
  <r>
    <x v="181"/>
    <s v="ASSISTENTE DE OP LOGISTICA II"/>
    <s v="ASSISTENTE"/>
    <s v="MAT_182"/>
    <x v="181"/>
    <x v="2"/>
    <x v="0"/>
    <x v="181"/>
    <x v="6"/>
    <x v="181"/>
    <s v="Concluído"/>
    <n v="9"/>
    <s v="100%"/>
    <x v="1"/>
    <n v="94"/>
    <n v="94"/>
  </r>
  <r>
    <x v="182"/>
    <s v="COORDENADOR DE LOGISTICA"/>
    <s v="COORDENADOR"/>
    <s v="MAT_183"/>
    <x v="182"/>
    <x v="7"/>
    <x v="0"/>
    <x v="182"/>
    <x v="5"/>
    <x v="182"/>
    <s v="Concluído"/>
    <n v="6"/>
    <s v="100%"/>
    <x v="1"/>
    <n v="81"/>
    <n v="81"/>
  </r>
  <r>
    <x v="183"/>
    <s v="COORDENADOR DE LOGISTICA"/>
    <s v="COORDENADOR"/>
    <s v="MAT_184"/>
    <x v="183"/>
    <x v="6"/>
    <x v="0"/>
    <x v="183"/>
    <x v="2"/>
    <x v="183"/>
    <s v="Concluído"/>
    <n v="7"/>
    <s v="38%"/>
    <x v="0"/>
    <n v="82"/>
    <n v="31"/>
  </r>
  <r>
    <x v="184"/>
    <s v="ANALISTA DE LOGISTICA I"/>
    <s v="PROFISSIONAIS_I"/>
    <s v="MAT_185"/>
    <x v="184"/>
    <x v="3"/>
    <x v="0"/>
    <x v="184"/>
    <x v="0"/>
    <x v="184"/>
    <s v="Concluído"/>
    <n v="5"/>
    <s v="100%"/>
    <x v="1"/>
    <n v="62"/>
    <n v="62"/>
  </r>
  <r>
    <x v="185"/>
    <s v="GERENTE DE LOGISTICA"/>
    <s v="GERENTE"/>
    <s v="MAT_186"/>
    <x v="185"/>
    <x v="8"/>
    <x v="0"/>
    <x v="185"/>
    <x v="4"/>
    <x v="185"/>
    <s v="Concluído"/>
    <n v="8"/>
    <s v="75%"/>
    <x v="0"/>
    <n v="71"/>
    <n v="53"/>
  </r>
  <r>
    <x v="186"/>
    <s v="SUPERVISOR DE LOGISTICA"/>
    <s v="SUPERVISOR"/>
    <s v="MAT_187"/>
    <x v="186"/>
    <x v="3"/>
    <x v="0"/>
    <x v="186"/>
    <x v="0"/>
    <x v="186"/>
    <s v="Concluído"/>
    <n v="7"/>
    <s v="100%"/>
    <x v="1"/>
    <n v="82"/>
    <n v="82"/>
  </r>
  <r>
    <x v="187"/>
    <s v="ASSISTENTE DE OP LOGISTICA II"/>
    <s v="ASSISTENTE"/>
    <s v="MAT_188"/>
    <x v="187"/>
    <x v="0"/>
    <x v="1"/>
    <x v="187"/>
    <x v="27"/>
    <x v="187"/>
    <s v="Concluído"/>
    <n v="9"/>
    <s v="100%"/>
    <x v="1"/>
    <n v="80"/>
    <n v="80"/>
  </r>
  <r>
    <x v="188"/>
    <s v="ANALISTA DE PLANEJ LOGIST II"/>
    <s v="PROFISSIONAIS_II"/>
    <s v="MAT_189"/>
    <x v="188"/>
    <x v="0"/>
    <x v="1"/>
    <x v="188"/>
    <x v="27"/>
    <x v="188"/>
    <s v="Concluído"/>
    <n v="7"/>
    <s v="59%"/>
    <x v="0"/>
    <n v="58"/>
    <n v="34"/>
  </r>
  <r>
    <x v="189"/>
    <s v="ANALISTA DE PLANEJ LOGIST III"/>
    <s v="PROFISSIONAIS_III"/>
    <s v="MAT_190"/>
    <x v="189"/>
    <x v="0"/>
    <x v="1"/>
    <x v="189"/>
    <x v="27"/>
    <x v="189"/>
    <s v="Concluído"/>
    <n v="9"/>
    <s v="100%"/>
    <x v="1"/>
    <n v="80"/>
    <n v="80"/>
  </r>
  <r>
    <x v="190"/>
    <s v="GERENTE DE LOGISTICA"/>
    <s v="GERENTE"/>
    <s v="MAT_191"/>
    <x v="190"/>
    <x v="0"/>
    <x v="0"/>
    <x v="190"/>
    <x v="5"/>
    <x v="190"/>
    <s v="Concluído"/>
    <n v="6"/>
    <s v="100%"/>
    <x v="1"/>
    <n v="65"/>
    <n v="65"/>
  </r>
  <r>
    <x v="191"/>
    <s v="ASSISTENTE ADMINISTRATIVO"/>
    <s v="ASSISTENTE"/>
    <s v="MAT_192"/>
    <x v="191"/>
    <x v="3"/>
    <x v="0"/>
    <x v="191"/>
    <x v="5"/>
    <x v="191"/>
    <s v="Concluído"/>
    <n v="9"/>
    <s v="86%"/>
    <x v="0"/>
    <n v="84"/>
    <n v="72"/>
  </r>
  <r>
    <x v="192"/>
    <s v="SUPERVISOR DE LOGISTICA"/>
    <s v="SUPERVISOR"/>
    <s v="MAT_193"/>
    <x v="192"/>
    <x v="4"/>
    <x v="0"/>
    <x v="192"/>
    <x v="4"/>
    <x v="192"/>
    <s v="Concluído"/>
    <n v="6"/>
    <s v="83%"/>
    <x v="0"/>
    <n v="65"/>
    <n v="54"/>
  </r>
  <r>
    <x v="193"/>
    <s v="ANALISTA DE CUSTOMER SERVICE II"/>
    <s v="PROFISSIONAIS_II"/>
    <s v="MAT_194"/>
    <x v="193"/>
    <x v="7"/>
    <x v="2"/>
    <x v="193"/>
    <x v="10"/>
    <x v="193"/>
    <s v="Concluído"/>
    <n v="5"/>
    <s v="100%"/>
    <x v="1"/>
    <n v="46"/>
    <n v="46"/>
  </r>
  <r>
    <x v="194"/>
    <s v="ANALISTA DE CUSTOMER SERVICE II"/>
    <s v="PROFISSIONAIS_II"/>
    <s v="MAT_195"/>
    <x v="194"/>
    <x v="0"/>
    <x v="2"/>
    <x v="194"/>
    <x v="10"/>
    <x v="194"/>
    <s v="Concluído"/>
    <n v="5"/>
    <s v="19%"/>
    <x v="0"/>
    <n v="62"/>
    <n v="12"/>
  </r>
  <r>
    <x v="195"/>
    <s v="ASSISTENTE ADMINISTRATIVO"/>
    <s v="ASSISTENTE"/>
    <s v="MAT_196"/>
    <x v="195"/>
    <x v="3"/>
    <x v="0"/>
    <x v="195"/>
    <x v="7"/>
    <x v="195"/>
    <s v="Concluído"/>
    <n v="7"/>
    <s v="83%"/>
    <x v="0"/>
    <n v="64"/>
    <n v="53"/>
  </r>
  <r>
    <x v="196"/>
    <s v="ANALISTA DE CUSTOMER SERVICE I"/>
    <s v="PROFISSIONAIS_I"/>
    <s v="MAT_197"/>
    <x v="196"/>
    <x v="0"/>
    <x v="2"/>
    <x v="196"/>
    <x v="10"/>
    <x v="196"/>
    <s v="Concluído"/>
    <n v="9"/>
    <s v="68%"/>
    <x v="0"/>
    <n v="80"/>
    <n v="54"/>
  </r>
  <r>
    <x v="197"/>
    <s v="ANALISTA DE LOGISTICA I"/>
    <s v="PROFISSIONAIS_I"/>
    <s v="MAT_198"/>
    <x v="197"/>
    <x v="0"/>
    <x v="0"/>
    <x v="197"/>
    <x v="9"/>
    <x v="197"/>
    <s v="Concluído"/>
    <n v="7"/>
    <s v="66%"/>
    <x v="0"/>
    <n v="62"/>
    <n v="41"/>
  </r>
  <r>
    <x v="198"/>
    <s v="ASSISTENTE DE OP LOGISTICA II"/>
    <s v="ASSISTENTE"/>
    <s v="MAT_199"/>
    <x v="198"/>
    <x v="13"/>
    <x v="0"/>
    <x v="198"/>
    <x v="0"/>
    <x v="198"/>
    <s v="Concluído"/>
    <n v="9"/>
    <s v="100%"/>
    <x v="1"/>
    <n v="106"/>
    <n v="106"/>
  </r>
  <r>
    <x v="199"/>
    <s v="ANALISTA DE LOGISTICA I"/>
    <s v="PROFISSIONAIS_I"/>
    <s v="MAT_200"/>
    <x v="199"/>
    <x v="2"/>
    <x v="0"/>
    <x v="199"/>
    <x v="15"/>
    <x v="199"/>
    <s v="Concluído"/>
    <n v="9"/>
    <s v="100%"/>
    <x v="1"/>
    <n v="80"/>
    <n v="80"/>
  </r>
  <r>
    <x v="200"/>
    <s v="COORDENADOR DE LOGISTICA"/>
    <s v="COORDENADOR"/>
    <s v="MAT_201"/>
    <x v="200"/>
    <x v="5"/>
    <x v="0"/>
    <x v="200"/>
    <x v="5"/>
    <x v="200"/>
    <s v="Concluído"/>
    <n v="7"/>
    <s v="100%"/>
    <x v="1"/>
    <n v="82"/>
    <n v="82"/>
  </r>
  <r>
    <x v="201"/>
    <s v="ESPECIALISTA DE LOGISTICA"/>
    <s v="ESPECIALISTA"/>
    <s v="MAT_202"/>
    <x v="201"/>
    <x v="0"/>
    <x v="1"/>
    <x v="201"/>
    <x v="3"/>
    <x v="201"/>
    <s v="Concluído"/>
    <n v="5"/>
    <s v="100%"/>
    <x v="1"/>
    <n v="46"/>
    <n v="46"/>
  </r>
  <r>
    <x v="202"/>
    <s v="ASSISTENTE DE OP LOGISTICA I"/>
    <s v="ASSISTENTE"/>
    <s v="MAT_203"/>
    <x v="202"/>
    <x v="2"/>
    <x v="0"/>
    <x v="202"/>
    <x v="15"/>
    <x v="202"/>
    <s v="Concluído"/>
    <n v="9"/>
    <s v="100%"/>
    <x v="1"/>
    <n v="84"/>
    <n v="84"/>
  </r>
  <r>
    <x v="203"/>
    <s v="ASSISTENTE DE OP LOGISTICA II"/>
    <s v="ASSISTENTE"/>
    <s v="MAT_204"/>
    <x v="203"/>
    <x v="2"/>
    <x v="0"/>
    <x v="203"/>
    <x v="0"/>
    <x v="203"/>
    <s v="Concluído"/>
    <n v="9"/>
    <s v="51%"/>
    <x v="0"/>
    <n v="84"/>
    <n v="43"/>
  </r>
  <r>
    <x v="204"/>
    <s v="ANALISTA DE CUSTOMER SERVICE I"/>
    <s v="PROFISSIONAIS_I"/>
    <s v="MAT_205"/>
    <x v="204"/>
    <x v="0"/>
    <x v="2"/>
    <x v="204"/>
    <x v="10"/>
    <x v="204"/>
    <s v="Concluído"/>
    <n v="7"/>
    <s v="100%"/>
    <x v="1"/>
    <n v="78"/>
    <n v="78"/>
  </r>
  <r>
    <x v="205"/>
    <s v="ANALISTA DE LOGISTICA II"/>
    <s v="PROFISSIONAIS_II"/>
    <s v="MAT_206"/>
    <x v="205"/>
    <x v="0"/>
    <x v="4"/>
    <x v="205"/>
    <x v="25"/>
    <x v="205"/>
    <s v="Concluído"/>
    <n v="18"/>
    <s v="100%"/>
    <x v="1"/>
    <n v="100"/>
    <n v="100"/>
  </r>
  <r>
    <x v="206"/>
    <s v="COORDENADOR DE PLANEJAMENTO LOGISTI"/>
    <s v="COORDENADOR"/>
    <s v="MAT_207"/>
    <x v="206"/>
    <x v="0"/>
    <x v="1"/>
    <x v="206"/>
    <x v="27"/>
    <x v="206"/>
    <s v="Concluído"/>
    <n v="5"/>
    <s v="100%"/>
    <x v="1"/>
    <n v="62"/>
    <n v="62"/>
  </r>
  <r>
    <x v="207"/>
    <s v="ANALISTA DE COSTUMER SERVICE II"/>
    <s v="PROFISSIONAIS_I"/>
    <s v="MAT_208"/>
    <x v="207"/>
    <x v="1"/>
    <x v="2"/>
    <x v="207"/>
    <x v="33"/>
    <x v="207"/>
    <s v="Concluído"/>
    <n v="7"/>
    <s v="73%"/>
    <x v="0"/>
    <n v="52"/>
    <n v="38"/>
  </r>
  <r>
    <x v="208"/>
    <s v="SUPERVISOR DE LOGISTICA"/>
    <s v="SUPERVISOR"/>
    <s v="MAT_209"/>
    <x v="208"/>
    <x v="4"/>
    <x v="0"/>
    <x v="208"/>
    <x v="7"/>
    <x v="208"/>
    <s v="Concluído"/>
    <n v="7"/>
    <s v="77%"/>
    <x v="0"/>
    <n v="82"/>
    <n v="63"/>
  </r>
  <r>
    <x v="209"/>
    <s v="GERENTE DE PLANEJ LOGISTICO"/>
    <s v="GERENTE"/>
    <s v="MAT_210"/>
    <x v="209"/>
    <x v="0"/>
    <x v="1"/>
    <x v="209"/>
    <x v="3"/>
    <x v="209"/>
    <s v="Concluído"/>
    <n v="6"/>
    <s v="48%"/>
    <x v="0"/>
    <n v="65"/>
    <n v="31"/>
  </r>
  <r>
    <x v="210"/>
    <s v="ANALISTA DE CUSTOMER SERVICE II"/>
    <s v="PROFISSIONAIS_II"/>
    <s v="MAT_211"/>
    <x v="210"/>
    <x v="0"/>
    <x v="2"/>
    <x v="210"/>
    <x v="10"/>
    <x v="210"/>
    <s v="Concluído"/>
    <n v="5"/>
    <s v="100%"/>
    <x v="1"/>
    <n v="72"/>
    <n v="72"/>
  </r>
  <r>
    <x v="211"/>
    <s v="ASSISTENTE DE OP LOGISTICA II"/>
    <s v="ASSISTENTE"/>
    <s v="MAT_212"/>
    <x v="211"/>
    <x v="7"/>
    <x v="0"/>
    <x v="211"/>
    <x v="2"/>
    <x v="211"/>
    <s v="Concluído"/>
    <n v="9"/>
    <s v="100%"/>
    <x v="1"/>
    <n v="84"/>
    <n v="84"/>
  </r>
  <r>
    <x v="212"/>
    <s v="ASSISTENTE DE OP LOGISTICA I"/>
    <s v="ASSISTENTE"/>
    <s v="MAT_213"/>
    <x v="212"/>
    <x v="0"/>
    <x v="0"/>
    <x v="212"/>
    <x v="11"/>
    <x v="212"/>
    <s v="Concluído"/>
    <n v="9"/>
    <s v="100%"/>
    <x v="1"/>
    <n v="108"/>
    <n v="108"/>
  </r>
  <r>
    <x v="213"/>
    <s v="ASSISTENTE DE OP LOGISTICA II"/>
    <s v="ASSISTENTE"/>
    <s v="MAT_214"/>
    <x v="213"/>
    <x v="4"/>
    <x v="0"/>
    <x v="213"/>
    <x v="24"/>
    <x v="213"/>
    <s v="Concluído"/>
    <n v="9"/>
    <s v="100%"/>
    <x v="1"/>
    <n v="55"/>
    <n v="55"/>
  </r>
  <r>
    <x v="214"/>
    <s v="ASSISTENTE DE OP LOGISTICA II"/>
    <s v="ASSISTENTE"/>
    <s v="MAT_215"/>
    <x v="214"/>
    <x v="0"/>
    <x v="0"/>
    <x v="214"/>
    <x v="0"/>
    <x v="214"/>
    <s v="Concluído"/>
    <n v="9"/>
    <s v="60%"/>
    <x v="0"/>
    <n v="84"/>
    <n v="50"/>
  </r>
  <r>
    <x v="215"/>
    <s v="ANALISTA DE LOGISTICA I"/>
    <s v="PROFISSIONAIS_I"/>
    <s v="MAT_216"/>
    <x v="215"/>
    <x v="3"/>
    <x v="0"/>
    <x v="215"/>
    <x v="24"/>
    <x v="215"/>
    <s v="Concluído"/>
    <n v="9"/>
    <s v="100%"/>
    <x v="1"/>
    <n v="112"/>
    <n v="112"/>
  </r>
  <r>
    <x v="216"/>
    <s v="ANALISTA DE PLANEJ LOGIST III"/>
    <s v="PROFISSIONAIS_III"/>
    <s v="MAT_217"/>
    <x v="216"/>
    <x v="0"/>
    <x v="0"/>
    <x v="216"/>
    <x v="11"/>
    <x v="216"/>
    <s v="Concluído"/>
    <n v="7"/>
    <s v="100%"/>
    <x v="1"/>
    <n v="92"/>
    <n v="92"/>
  </r>
  <r>
    <x v="217"/>
    <s v="SUPERVISOR DE LOGISTICA"/>
    <s v="SUPERVISOR"/>
    <s v="MAT_218"/>
    <x v="217"/>
    <x v="4"/>
    <x v="0"/>
    <x v="217"/>
    <x v="2"/>
    <x v="217"/>
    <s v="Concluído"/>
    <n v="7"/>
    <s v="100%"/>
    <x v="1"/>
    <n v="52"/>
    <n v="52"/>
  </r>
  <r>
    <x v="218"/>
    <s v="COORDENADOR DE PLANEJAMENTO LOGISTI"/>
    <s v="COORDENADOR"/>
    <s v="MAT_219"/>
    <x v="218"/>
    <x v="2"/>
    <x v="1"/>
    <x v="218"/>
    <x v="3"/>
    <x v="218"/>
    <s v="Concluído"/>
    <n v="6"/>
    <s v="100%"/>
    <x v="1"/>
    <n v="97"/>
    <n v="97"/>
  </r>
  <r>
    <x v="219"/>
    <s v="ASSISTENTE ADMINISTRATIVO"/>
    <s v="ASSISTENTE"/>
    <s v="MAT_220"/>
    <x v="219"/>
    <x v="3"/>
    <x v="0"/>
    <x v="219"/>
    <x v="7"/>
    <x v="219"/>
    <s v="Concluído"/>
    <n v="7"/>
    <s v="50%"/>
    <x v="0"/>
    <n v="62"/>
    <n v="31"/>
  </r>
  <r>
    <x v="220"/>
    <s v="ASSISTENTE DE CUSTOMER SERVICE"/>
    <s v="ASSISTENTE_ESPECIFICO"/>
    <s v="MAT_221"/>
    <x v="220"/>
    <x v="7"/>
    <x v="2"/>
    <x v="220"/>
    <x v="10"/>
    <x v="220"/>
    <s v="Concluído"/>
    <n v="7"/>
    <s v="88%"/>
    <x v="0"/>
    <n v="64"/>
    <n v="56"/>
  </r>
  <r>
    <x v="221"/>
    <s v="ANALISTA DE CUSTOMER SERVICE I"/>
    <s v="PROFISSIONAIS_I"/>
    <s v="MAT_222"/>
    <x v="221"/>
    <x v="0"/>
    <x v="2"/>
    <x v="221"/>
    <x v="10"/>
    <x v="221"/>
    <s v="Concluído"/>
    <n v="7"/>
    <s v="100%"/>
    <x v="1"/>
    <n v="78"/>
    <n v="78"/>
  </r>
  <r>
    <x v="222"/>
    <s v="ASSISTENTE DE OP LOGISTICA I"/>
    <s v="ASSISTENTE"/>
    <s v="MAT_223"/>
    <x v="222"/>
    <x v="3"/>
    <x v="0"/>
    <x v="222"/>
    <x v="34"/>
    <x v="222"/>
    <s v="Concluído"/>
    <n v="7"/>
    <s v="100%"/>
    <x v="1"/>
    <n v="58"/>
    <n v="58"/>
  </r>
  <r>
    <x v="223"/>
    <s v="GERENTE DE PLANEJ LOGISTICO"/>
    <s v="GERENTE"/>
    <s v="MAT_224"/>
    <x v="223"/>
    <x v="7"/>
    <x v="1"/>
    <x v="223"/>
    <x v="3"/>
    <x v="223"/>
    <s v="Concluído"/>
    <n v="7"/>
    <s v="100%"/>
    <x v="1"/>
    <n v="78"/>
    <n v="78"/>
  </r>
  <r>
    <x v="224"/>
    <s v="ASSISTENTE DE CUSTOMER SERVICE"/>
    <s v="ASSISTENTE_ESPECIFICO"/>
    <s v="MAT_225"/>
    <x v="224"/>
    <x v="0"/>
    <x v="2"/>
    <x v="224"/>
    <x v="10"/>
    <x v="224"/>
    <s v="Concluído"/>
    <n v="7"/>
    <s v="100%"/>
    <x v="1"/>
    <n v="64"/>
    <n v="64"/>
  </r>
  <r>
    <x v="225"/>
    <s v="ASSISTENTE DE OP LOGISTICA I"/>
    <s v="ASSISTENTE"/>
    <s v="MAT_226"/>
    <x v="225"/>
    <x v="0"/>
    <x v="0"/>
    <x v="225"/>
    <x v="2"/>
    <x v="225"/>
    <s v="Concluído"/>
    <n v="9"/>
    <s v="80%"/>
    <x v="0"/>
    <n v="70"/>
    <n v="56"/>
  </r>
  <r>
    <x v="226"/>
    <s v="ASSISTENTE ADMINISTRATIVO"/>
    <s v="ASSISTENTE"/>
    <s v="MAT_227"/>
    <x v="226"/>
    <x v="3"/>
    <x v="0"/>
    <x v="226"/>
    <x v="0"/>
    <x v="226"/>
    <s v="Concluído"/>
    <n v="7"/>
    <s v="100%"/>
    <x v="1"/>
    <n v="64"/>
    <n v="64"/>
  </r>
  <r>
    <x v="227"/>
    <s v="ANALISTA DE PLANEJ LOGIST II"/>
    <s v="PROFISSIONAIS_II"/>
    <s v="MAT_228"/>
    <x v="227"/>
    <x v="0"/>
    <x v="0"/>
    <x v="227"/>
    <x v="11"/>
    <x v="227"/>
    <s v="Concluído"/>
    <n v="9"/>
    <s v="37%"/>
    <x v="0"/>
    <n v="106"/>
    <n v="39"/>
  </r>
  <r>
    <x v="228"/>
    <s v="ASSISTENTE DE OP LOGISTICA III"/>
    <s v="ASSISTENTE"/>
    <s v="MAT_229"/>
    <x v="228"/>
    <x v="15"/>
    <x v="0"/>
    <x v="228"/>
    <x v="0"/>
    <x v="228"/>
    <s v="Concluído"/>
    <n v="9"/>
    <s v="100%"/>
    <x v="1"/>
    <n v="108"/>
    <n v="108"/>
  </r>
  <r>
    <x v="229"/>
    <s v="ESTAGIARIO"/>
    <s v="ESTAGIARIO"/>
    <s v="MAT_230"/>
    <x v="229"/>
    <x v="4"/>
    <x v="0"/>
    <x v="229"/>
    <x v="2"/>
    <x v="229"/>
    <s v="Concluído"/>
    <n v="9"/>
    <s v="100%"/>
    <x v="1"/>
    <n v="118"/>
    <n v="118"/>
  </r>
  <r>
    <x v="230"/>
    <s v="ASSISTENTE DE OP LOGISTICA II"/>
    <s v="ASSISTENTE"/>
    <s v="MAT_231"/>
    <x v="230"/>
    <x v="0"/>
    <x v="0"/>
    <x v="230"/>
    <x v="13"/>
    <x v="230"/>
    <s v="Concluído"/>
    <n v="7"/>
    <s v="100%"/>
    <x v="1"/>
    <n v="78"/>
    <n v="78"/>
  </r>
  <r>
    <x v="231"/>
    <s v="ASSISTENTE DE OP LOGISTICA III"/>
    <s v="ASSISTENTE"/>
    <s v="MAT_232"/>
    <x v="231"/>
    <x v="4"/>
    <x v="0"/>
    <x v="231"/>
    <x v="35"/>
    <x v="231"/>
    <s v="Concluído"/>
    <n v="9"/>
    <s v="92%"/>
    <x v="0"/>
    <n v="120"/>
    <n v="110"/>
  </r>
  <r>
    <x v="232"/>
    <s v="ANALISTA DE CUSTOMER SERVICE I"/>
    <s v="PROFISSIONAIS_I"/>
    <s v="MAT_233"/>
    <x v="232"/>
    <x v="0"/>
    <x v="2"/>
    <x v="232"/>
    <x v="20"/>
    <x v="232"/>
    <s v="Concluído"/>
    <n v="9"/>
    <s v="100%"/>
    <x v="1"/>
    <n v="86"/>
    <n v="86"/>
  </r>
  <r>
    <x v="233"/>
    <s v="SUPERVISOR DE LOGISTICA"/>
    <s v="SUPERVISOR"/>
    <s v="MAT_234"/>
    <x v="233"/>
    <x v="0"/>
    <x v="0"/>
    <x v="233"/>
    <x v="2"/>
    <x v="233"/>
    <s v="Concluído"/>
    <n v="7"/>
    <s v="100%"/>
    <x v="1"/>
    <n v="66"/>
    <n v="66"/>
  </r>
  <r>
    <x v="234"/>
    <s v="SUPERVISOR DE LOGISTICA"/>
    <s v="SUPERVISOR"/>
    <s v="MAT_235"/>
    <x v="234"/>
    <x v="0"/>
    <x v="0"/>
    <x v="234"/>
    <x v="24"/>
    <x v="234"/>
    <s v="Concluído"/>
    <n v="7"/>
    <s v="100%"/>
    <x v="1"/>
    <n v="82"/>
    <n v="82"/>
  </r>
  <r>
    <x v="235"/>
    <s v="ASSISTENTE DE OP LOGISTICA II"/>
    <s v="ASSISTENTE"/>
    <s v="MAT_236"/>
    <x v="235"/>
    <x v="5"/>
    <x v="0"/>
    <x v="235"/>
    <x v="6"/>
    <x v="235"/>
    <s v="Concluído"/>
    <n v="9"/>
    <s v="100%"/>
    <x v="1"/>
    <n v="84"/>
    <n v="84"/>
  </r>
  <r>
    <x v="236"/>
    <s v="ASSISTENTE DE OP LOGISTICA I"/>
    <s v="ASSISTENTE"/>
    <s v="MAT_237"/>
    <x v="236"/>
    <x v="0"/>
    <x v="0"/>
    <x v="236"/>
    <x v="11"/>
    <x v="236"/>
    <s v="Concluído"/>
    <n v="7"/>
    <s v="100%"/>
    <x v="1"/>
    <n v="84"/>
    <n v="84"/>
  </r>
  <r>
    <x v="237"/>
    <s v="ASSISTENTE DE OP LOGISTICA II"/>
    <s v="ASSISTENTE"/>
    <s v="MAT_238"/>
    <x v="237"/>
    <x v="0"/>
    <x v="0"/>
    <x v="237"/>
    <x v="0"/>
    <x v="237"/>
    <s v="Concluído"/>
    <n v="7"/>
    <s v="75%"/>
    <x v="0"/>
    <n v="64"/>
    <n v="48"/>
  </r>
  <r>
    <x v="238"/>
    <s v="ASSISTENTE DE OP LOGISTICA III"/>
    <s v="ASSISTENTE"/>
    <s v="MAT_239"/>
    <x v="238"/>
    <x v="10"/>
    <x v="0"/>
    <x v="238"/>
    <x v="0"/>
    <x v="238"/>
    <s v="Concluído"/>
    <n v="7"/>
    <s v="100%"/>
    <x v="1"/>
    <n v="64"/>
    <n v="64"/>
  </r>
  <r>
    <x v="239"/>
    <s v="COORDENADOR DE SUPPLY CHAIN"/>
    <s v="COORDENADOR"/>
    <s v="MAT_240"/>
    <x v="239"/>
    <x v="1"/>
    <x v="1"/>
    <x v="239"/>
    <x v="12"/>
    <x v="239"/>
    <s v="Concluído"/>
    <n v="4"/>
    <s v="100%"/>
    <x v="1"/>
    <n v="75"/>
    <n v="75"/>
  </r>
  <r>
    <x v="240"/>
    <s v="ESPECIALISTA DE LOGISTICA"/>
    <s v="ESPECIALISTA"/>
    <s v="MAT_241"/>
    <x v="240"/>
    <x v="0"/>
    <x v="3"/>
    <x v="240"/>
    <x v="36"/>
    <x v="240"/>
    <s v="Concluído"/>
    <n v="7"/>
    <s v="100%"/>
    <x v="1"/>
    <n v="83"/>
    <n v="83"/>
  </r>
  <r>
    <x v="241"/>
    <s v="ANALISTA DE LOGISTICA I"/>
    <s v="PROFISSIONAIS_I"/>
    <s v="MAT_242"/>
    <x v="241"/>
    <x v="3"/>
    <x v="0"/>
    <x v="241"/>
    <x v="15"/>
    <x v="241"/>
    <s v="Concluído"/>
    <n v="9"/>
    <s v="100%"/>
    <x v="1"/>
    <n v="78"/>
    <n v="78"/>
  </r>
  <r>
    <x v="242"/>
    <s v="ANALISTA DE PLANEJ LOGIST II"/>
    <s v="PROFISSIONAIS_II"/>
    <s v="MAT_243"/>
    <x v="242"/>
    <x v="0"/>
    <x v="1"/>
    <x v="242"/>
    <x v="22"/>
    <x v="242"/>
    <s v="Concluído"/>
    <n v="7"/>
    <s v="100%"/>
    <x v="1"/>
    <n v="78"/>
    <n v="78"/>
  </r>
  <r>
    <x v="243"/>
    <s v="SUPERVISOR DE LOGISTICA"/>
    <s v="SUPERVISOR"/>
    <s v="MAT_244"/>
    <x v="243"/>
    <x v="0"/>
    <x v="0"/>
    <x v="243"/>
    <x v="2"/>
    <x v="243"/>
    <s v="Concluído"/>
    <n v="7"/>
    <s v="100%"/>
    <x v="1"/>
    <n v="82"/>
    <n v="82"/>
  </r>
  <r>
    <x v="244"/>
    <s v="ASSISTENTE DE OP LOGISTICA II"/>
    <s v="ASSISTENTE"/>
    <s v="MAT_245"/>
    <x v="244"/>
    <x v="0"/>
    <x v="0"/>
    <x v="244"/>
    <x v="6"/>
    <x v="244"/>
    <s v="Concluído"/>
    <n v="7"/>
    <s v="100%"/>
    <x v="1"/>
    <n v="62"/>
    <n v="62"/>
  </r>
  <r>
    <x v="245"/>
    <s v="ASSISTENTE DE OP LOGISTICA II"/>
    <s v="ASSISTENTE"/>
    <s v="MAT_246"/>
    <x v="245"/>
    <x v="0"/>
    <x v="0"/>
    <x v="245"/>
    <x v="2"/>
    <x v="245"/>
    <s v="Concluído"/>
    <n v="9"/>
    <s v="26%"/>
    <x v="0"/>
    <n v="70"/>
    <n v="18"/>
  </r>
  <r>
    <x v="246"/>
    <s v="ANALISTA DE CUSTOMER SERVICE II"/>
    <s v="PROFISSIONAIS_II"/>
    <s v="MAT_247"/>
    <x v="246"/>
    <x v="0"/>
    <x v="2"/>
    <x v="246"/>
    <x v="10"/>
    <x v="246"/>
    <s v="Concluído"/>
    <n v="5"/>
    <s v="100%"/>
    <x v="1"/>
    <n v="62"/>
    <n v="62"/>
  </r>
  <r>
    <x v="247"/>
    <s v="ANALISTA DE LOGISTICA I"/>
    <s v="PROFISSIONAIS_I"/>
    <s v="MAT_248"/>
    <x v="247"/>
    <x v="3"/>
    <x v="0"/>
    <x v="247"/>
    <x v="0"/>
    <x v="247"/>
    <s v="Concluído"/>
    <n v="9"/>
    <s v="14%"/>
    <x v="0"/>
    <n v="78"/>
    <n v="11"/>
  </r>
  <r>
    <x v="248"/>
    <s v="SUPERVISOR DE LOGISTICA"/>
    <s v="SUPERVISOR"/>
    <s v="MAT_249"/>
    <x v="248"/>
    <x v="3"/>
    <x v="0"/>
    <x v="248"/>
    <x v="5"/>
    <x v="248"/>
    <s v="Concluído"/>
    <n v="7"/>
    <s v="100%"/>
    <x v="1"/>
    <n v="66"/>
    <n v="66"/>
  </r>
  <r>
    <x v="249"/>
    <s v="ASSISTENTE DE OP LOGISTICA III"/>
    <s v="ASSISTENTE"/>
    <s v="MAT_250"/>
    <x v="249"/>
    <x v="13"/>
    <x v="0"/>
    <x v="249"/>
    <x v="0"/>
    <x v="249"/>
    <s v="Concluído"/>
    <n v="9"/>
    <s v="100%"/>
    <x v="1"/>
    <n v="72"/>
    <n v="72"/>
  </r>
  <r>
    <x v="250"/>
    <s v="ASSISTENTE DE CUSTOMER SERVICE"/>
    <s v="ASSISTENTE_ESPECIFICO"/>
    <s v="MAT_251"/>
    <x v="250"/>
    <x v="7"/>
    <x v="2"/>
    <x v="250"/>
    <x v="10"/>
    <x v="250"/>
    <s v="Concluído"/>
    <n v="7"/>
    <s v="100%"/>
    <x v="1"/>
    <n v="74"/>
    <n v="74"/>
  </r>
  <r>
    <x v="251"/>
    <s v="SUPERVISOR DE LOGISTICA"/>
    <s v="SUPERVISOR"/>
    <s v="MAT_252"/>
    <x v="251"/>
    <x v="0"/>
    <x v="0"/>
    <x v="251"/>
    <x v="29"/>
    <x v="251"/>
    <s v="Concluído"/>
    <n v="7"/>
    <s v="100%"/>
    <x v="1"/>
    <n v="66"/>
    <n v="66"/>
  </r>
  <r>
    <x v="252"/>
    <s v="ASSISTENTE DE CUSTOMER SERVICE"/>
    <s v="ASSISTENTE_ESPECIFICO"/>
    <s v="MAT_253"/>
    <x v="252"/>
    <x v="3"/>
    <x v="2"/>
    <x v="252"/>
    <x v="10"/>
    <x v="252"/>
    <s v="Concluído"/>
    <n v="7"/>
    <s v="100%"/>
    <x v="1"/>
    <n v="64"/>
    <n v="64"/>
  </r>
  <r>
    <x v="253"/>
    <s v="GERENTE REGIONAL DE LOGISTICA"/>
    <s v="GERENTE"/>
    <s v="MAT_254"/>
    <x v="253"/>
    <x v="3"/>
    <x v="0"/>
    <x v="253"/>
    <x v="5"/>
    <x v="253"/>
    <s v="Concluído"/>
    <n v="7"/>
    <s v="100%"/>
    <x v="1"/>
    <n v="98"/>
    <n v="98"/>
  </r>
  <r>
    <x v="254"/>
    <s v="ASSISTENTE ADMINISTRATIVO"/>
    <s v="ASSISTENTE"/>
    <s v="MAT_255"/>
    <x v="254"/>
    <x v="3"/>
    <x v="0"/>
    <x v="254"/>
    <x v="2"/>
    <x v="254"/>
    <s v="Concluído"/>
    <n v="9"/>
    <s v="100%"/>
    <x v="1"/>
    <n v="106"/>
    <n v="106"/>
  </r>
  <r>
    <x v="255"/>
    <s v="ASSISTENTE DE OP LOGISTICA II"/>
    <s v="ASSISTENTE"/>
    <s v="MAT_256"/>
    <x v="255"/>
    <x v="0"/>
    <x v="0"/>
    <x v="255"/>
    <x v="14"/>
    <x v="255"/>
    <s v="Concluído"/>
    <n v="9"/>
    <s v="60%"/>
    <x v="0"/>
    <n v="78"/>
    <n v="47"/>
  </r>
  <r>
    <x v="256"/>
    <s v="SUPERVISOR DE LOGISTICA"/>
    <s v="SUPERVISOR"/>
    <s v="MAT_257"/>
    <x v="256"/>
    <x v="2"/>
    <x v="0"/>
    <x v="256"/>
    <x v="29"/>
    <x v="256"/>
    <s v="Concluído"/>
    <n v="7"/>
    <s v="100%"/>
    <x v="1"/>
    <n v="52"/>
    <n v="52"/>
  </r>
  <r>
    <x v="257"/>
    <s v="ASSISTENTE ADMINISTRATIVO"/>
    <s v="ASSISTENTE"/>
    <s v="MAT_258"/>
    <x v="257"/>
    <x v="3"/>
    <x v="0"/>
    <x v="257"/>
    <x v="0"/>
    <x v="257"/>
    <s v="Concluído"/>
    <n v="9"/>
    <s v="100%"/>
    <x v="1"/>
    <n v="106"/>
    <n v="106"/>
  </r>
  <r>
    <x v="258"/>
    <s v="ASSISTENTE DE OP LOGISTICA II"/>
    <s v="ASSISTENTE"/>
    <s v="MAT_259"/>
    <x v="258"/>
    <x v="4"/>
    <x v="0"/>
    <x v="258"/>
    <x v="11"/>
    <x v="258"/>
    <s v="Concluído"/>
    <n v="9"/>
    <s v="100%"/>
    <x v="1"/>
    <n v="94"/>
    <n v="94"/>
  </r>
  <r>
    <x v="259"/>
    <s v="ASSISTENTE DE OP LOGISTICA I"/>
    <s v="ASSISTENTE"/>
    <s v="MAT_260"/>
    <x v="259"/>
    <x v="0"/>
    <x v="0"/>
    <x v="259"/>
    <x v="11"/>
    <x v="259"/>
    <s v="Concluído"/>
    <n v="9"/>
    <s v="14%"/>
    <x v="0"/>
    <n v="84"/>
    <n v="12"/>
  </r>
  <r>
    <x v="260"/>
    <s v="ASSISTENTE DE OP LOGISTICA II"/>
    <s v="ASSISTENTE"/>
    <s v="MAT_261"/>
    <x v="260"/>
    <x v="3"/>
    <x v="0"/>
    <x v="260"/>
    <x v="14"/>
    <x v="260"/>
    <s v="Concluído"/>
    <n v="9"/>
    <s v="100%"/>
    <x v="1"/>
    <n v="84"/>
    <n v="84"/>
  </r>
  <r>
    <x v="261"/>
    <s v="GERENTE EXECUTIVO CUSTOMER SERVICE"/>
    <s v="GERENTE"/>
    <s v="MAT_262"/>
    <x v="261"/>
    <x v="7"/>
    <x v="2"/>
    <x v="261"/>
    <x v="20"/>
    <x v="261"/>
    <s v="Concluído"/>
    <n v="5"/>
    <s v="52%"/>
    <x v="0"/>
    <n v="46"/>
    <n v="24"/>
  </r>
  <r>
    <x v="262"/>
    <s v="ANALISTA DE LOGISTICA I"/>
    <s v="PROFISSIONAIS_I"/>
    <s v="MAT_263"/>
    <x v="262"/>
    <x v="3"/>
    <x v="0"/>
    <x v="262"/>
    <x v="15"/>
    <x v="262"/>
    <s v="Concluído"/>
    <n v="9"/>
    <s v="100%"/>
    <x v="1"/>
    <n v="94"/>
    <n v="94"/>
  </r>
  <r>
    <x v="263"/>
    <s v="ASSISTENTE DE OP LOGISTICA I"/>
    <s v="ASSISTENTE"/>
    <s v="MAT_264"/>
    <x v="263"/>
    <x v="2"/>
    <x v="0"/>
    <x v="263"/>
    <x v="6"/>
    <x v="263"/>
    <s v="Concluído"/>
    <n v="9"/>
    <s v="100%"/>
    <x v="1"/>
    <n v="84"/>
    <n v="84"/>
  </r>
  <r>
    <x v="264"/>
    <s v="GERENTE DE PLANEJ LOGISTICO"/>
    <s v="GERENTE"/>
    <s v="MAT_265"/>
    <x v="264"/>
    <x v="0"/>
    <x v="1"/>
    <x v="264"/>
    <x v="16"/>
    <x v="264"/>
    <s v="Concluído"/>
    <n v="7"/>
    <s v="100%"/>
    <x v="1"/>
    <n v="106"/>
    <n v="106"/>
  </r>
  <r>
    <x v="265"/>
    <s v="COORDENADOR DE LOGISTICA"/>
    <s v="COORDENADOR"/>
    <s v="MAT_266"/>
    <x v="265"/>
    <x v="4"/>
    <x v="0"/>
    <x v="265"/>
    <x v="2"/>
    <x v="265"/>
    <s v="Concluído"/>
    <n v="7"/>
    <s v="100%"/>
    <x v="1"/>
    <n v="82"/>
    <n v="82"/>
  </r>
  <r>
    <x v="266"/>
    <s v="ANALISTA DE LOGISTICA II"/>
    <s v="PROFISSIONAIS_II"/>
    <s v="MAT_267"/>
    <x v="266"/>
    <x v="16"/>
    <x v="0"/>
    <x v="266"/>
    <x v="0"/>
    <x v="266"/>
    <s v="Concluído"/>
    <n v="7"/>
    <s v="43%"/>
    <x v="0"/>
    <n v="82"/>
    <n v="35"/>
  </r>
  <r>
    <x v="267"/>
    <s v="ANALISTA DE COSTUMER SERVICE"/>
    <s v="PROFISSIONAIS_I"/>
    <s v="MAT_268"/>
    <x v="267"/>
    <x v="1"/>
    <x v="2"/>
    <x v="267"/>
    <x v="33"/>
    <x v="267"/>
    <s v="Concluído"/>
    <n v="5"/>
    <s v="100%"/>
    <x v="1"/>
    <n v="78"/>
    <n v="78"/>
  </r>
  <r>
    <x v="268"/>
    <s v="ANALISTA DE PLANEJ LOGIST II"/>
    <s v="PROFISSIONAIS_II"/>
    <s v="MAT_269"/>
    <x v="268"/>
    <x v="0"/>
    <x v="1"/>
    <x v="268"/>
    <x v="27"/>
    <x v="268"/>
    <s v="Concluído"/>
    <n v="7"/>
    <s v="100%"/>
    <x v="1"/>
    <n v="58"/>
    <n v="58"/>
  </r>
  <r>
    <x v="269"/>
    <s v="ASSISTENTE DE OP LOGISTICA III"/>
    <s v="ASSISTENTE"/>
    <s v="MAT_270"/>
    <x v="269"/>
    <x v="5"/>
    <x v="0"/>
    <x v="269"/>
    <x v="0"/>
    <x v="269"/>
    <s v="Concluído"/>
    <n v="9"/>
    <s v="100%"/>
    <x v="1"/>
    <n v="72"/>
    <n v="72"/>
  </r>
  <r>
    <x v="270"/>
    <s v="ASSISTENTE DE OP LOGISTICA III"/>
    <s v="ASSISTENTE"/>
    <s v="MAT_271"/>
    <x v="270"/>
    <x v="0"/>
    <x v="0"/>
    <x v="270"/>
    <x v="13"/>
    <x v="270"/>
    <s v="Concluído"/>
    <n v="9"/>
    <s v="88%"/>
    <x v="0"/>
    <n v="78"/>
    <n v="69"/>
  </r>
  <r>
    <x v="271"/>
    <s v="ESTAGIARIO"/>
    <s v="ESTAGIARIO"/>
    <s v="MAT_272"/>
    <x v="271"/>
    <x v="3"/>
    <x v="0"/>
    <x v="271"/>
    <x v="4"/>
    <x v="271"/>
    <s v="Concluído"/>
    <n v="9"/>
    <s v="100%"/>
    <x v="1"/>
    <n v="84"/>
    <n v="84"/>
  </r>
  <r>
    <x v="272"/>
    <s v="SUPERVISOR DE COSTUMER SERVICE"/>
    <s v="SUPERVISOR"/>
    <s v="MAT_273"/>
    <x v="272"/>
    <x v="1"/>
    <x v="2"/>
    <x v="272"/>
    <x v="33"/>
    <x v="272"/>
    <s v="Concluído"/>
    <n v="7"/>
    <s v="100%"/>
    <x v="1"/>
    <n v="52"/>
    <n v="52"/>
  </r>
  <r>
    <x v="273"/>
    <s v="ANALISTA DE LOGISTICA I"/>
    <s v="PROFISSIONAIS_I"/>
    <s v="MAT_274"/>
    <x v="273"/>
    <x v="0"/>
    <x v="0"/>
    <x v="273"/>
    <x v="4"/>
    <x v="273"/>
    <s v="Concluído"/>
    <n v="9"/>
    <s v="33%"/>
    <x v="0"/>
    <n v="86"/>
    <n v="28"/>
  </r>
  <r>
    <x v="274"/>
    <s v="SUPERVISOR DE LOGISTICA"/>
    <s v="SUPERVISOR"/>
    <s v="MAT_275"/>
    <x v="274"/>
    <x v="7"/>
    <x v="2"/>
    <x v="274"/>
    <x v="10"/>
    <x v="274"/>
    <s v="Concluído"/>
    <n v="9"/>
    <s v="100%"/>
    <x v="1"/>
    <n v="80"/>
    <n v="80"/>
  </r>
  <r>
    <x v="275"/>
    <s v="ASSISTENTE ADMINISTRATIVO"/>
    <s v="ASSISTENTE"/>
    <s v="MAT_276"/>
    <x v="275"/>
    <x v="3"/>
    <x v="0"/>
    <x v="275"/>
    <x v="7"/>
    <x v="275"/>
    <s v="Concluído"/>
    <n v="9"/>
    <s v="100%"/>
    <x v="1"/>
    <n v="117"/>
    <n v="117"/>
  </r>
  <r>
    <x v="276"/>
    <s v="GERENTE DE LOGISTICA"/>
    <s v="GERENTE"/>
    <s v="MAT_277"/>
    <x v="276"/>
    <x v="0"/>
    <x v="0"/>
    <x v="276"/>
    <x v="4"/>
    <x v="276"/>
    <s v="Concluído"/>
    <n v="6"/>
    <s v="100%"/>
    <x v="1"/>
    <n v="65"/>
    <n v="65"/>
  </r>
  <r>
    <x v="277"/>
    <s v="ESPECIALISTA DE LOGISTICA"/>
    <s v="ESPECIALISTA"/>
    <s v="MAT_278"/>
    <x v="277"/>
    <x v="0"/>
    <x v="0"/>
    <x v="277"/>
    <x v="8"/>
    <x v="277"/>
    <s v="Concluído"/>
    <n v="6"/>
    <s v="100%"/>
    <x v="1"/>
    <n v="91"/>
    <n v="91"/>
  </r>
  <r>
    <x v="278"/>
    <s v="COORDENADOR REGIONAL DE LOGÍSTICA"/>
    <s v="COORDENADOR"/>
    <s v="MAT_279"/>
    <x v="278"/>
    <x v="1"/>
    <x v="0"/>
    <x v="278"/>
    <x v="37"/>
    <x v="278"/>
    <s v="Concluído"/>
    <n v="5"/>
    <s v="100%"/>
    <x v="1"/>
    <n v="62"/>
    <n v="62"/>
  </r>
  <r>
    <x v="279"/>
    <s v="ASSISTENTE DE OP LOGISTICA I"/>
    <s v="ASSISTENTE"/>
    <s v="MAT_280"/>
    <x v="279"/>
    <x v="6"/>
    <x v="0"/>
    <x v="279"/>
    <x v="0"/>
    <x v="279"/>
    <s v="Concluído"/>
    <n v="9"/>
    <s v="76%"/>
    <x v="0"/>
    <n v="84"/>
    <n v="64"/>
  </r>
  <r>
    <x v="280"/>
    <s v="ASSISTENTE DE OP LOGISTICA I"/>
    <s v="ASSISTENTE"/>
    <s v="MAT_281"/>
    <x v="280"/>
    <x v="2"/>
    <x v="0"/>
    <x v="280"/>
    <x v="2"/>
    <x v="280"/>
    <s v="Concluído"/>
    <n v="7"/>
    <s v="100%"/>
    <x v="1"/>
    <n v="84"/>
    <n v="84"/>
  </r>
  <r>
    <x v="281"/>
    <s v="ASSISTENTE DE OP LOGISTICA II"/>
    <s v="ASSISTENTE"/>
    <s v="MAT_282"/>
    <x v="281"/>
    <x v="0"/>
    <x v="0"/>
    <x v="281"/>
    <x v="23"/>
    <x v="281"/>
    <s v="Concluído"/>
    <n v="9"/>
    <s v="100%"/>
    <x v="1"/>
    <n v="114"/>
    <n v="114"/>
  </r>
  <r>
    <x v="282"/>
    <s v="ANALISTA DE PLANEJ LOGIST II"/>
    <s v="PROFISSIONAIS_II"/>
    <s v="MAT_283"/>
    <x v="282"/>
    <x v="0"/>
    <x v="1"/>
    <x v="282"/>
    <x v="3"/>
    <x v="282"/>
    <s v="Concluído"/>
    <n v="7"/>
    <s v="100%"/>
    <x v="1"/>
    <n v="52"/>
    <n v="52"/>
  </r>
  <r>
    <x v="283"/>
    <s v="ANALISTA DE CUSTOMER SERVICE II"/>
    <s v="PROFISSIONAIS_II"/>
    <s v="MAT_284"/>
    <x v="283"/>
    <x v="0"/>
    <x v="2"/>
    <x v="283"/>
    <x v="10"/>
    <x v="283"/>
    <s v="Concluído"/>
    <n v="7"/>
    <s v="100%"/>
    <x v="1"/>
    <n v="78"/>
    <n v="78"/>
  </r>
  <r>
    <x v="284"/>
    <s v="ASSISTENTE DE CUSTOMER SERVICE"/>
    <s v="ASSISTENTE_ESPECIFICO"/>
    <s v="MAT_285"/>
    <x v="284"/>
    <x v="0"/>
    <x v="2"/>
    <x v="284"/>
    <x v="10"/>
    <x v="284"/>
    <s v="Concluído"/>
    <n v="7"/>
    <s v="100%"/>
    <x v="1"/>
    <n v="58"/>
    <n v="58"/>
  </r>
  <r>
    <x v="285"/>
    <s v="SUPERVISOR DE LOGISTICA"/>
    <s v="SUPERVISOR"/>
    <s v="MAT_286"/>
    <x v="285"/>
    <x v="17"/>
    <x v="0"/>
    <x v="285"/>
    <x v="0"/>
    <x v="285"/>
    <s v="Concluído"/>
    <n v="7"/>
    <s v="100%"/>
    <x v="1"/>
    <n v="82"/>
    <n v="82"/>
  </r>
  <r>
    <x v="286"/>
    <s v="ANALISTA DE PLANEJ LOGIST III"/>
    <s v="PROFISSIONAIS_III"/>
    <s v="MAT_287"/>
    <x v="286"/>
    <x v="7"/>
    <x v="1"/>
    <x v="286"/>
    <x v="3"/>
    <x v="286"/>
    <s v="Concluído"/>
    <n v="7"/>
    <s v="21%"/>
    <x v="0"/>
    <n v="78"/>
    <n v="16"/>
  </r>
  <r>
    <x v="287"/>
    <s v="ASSISTENTE DE OP LOGISTICA II"/>
    <s v="ASSISTENTE"/>
    <s v="MAT_288"/>
    <x v="287"/>
    <x v="0"/>
    <x v="0"/>
    <x v="287"/>
    <x v="13"/>
    <x v="287"/>
    <s v="Concluído"/>
    <n v="9"/>
    <s v="62%"/>
    <x v="0"/>
    <n v="78"/>
    <n v="48"/>
  </r>
  <r>
    <x v="288"/>
    <s v="ASSISTENTE DE OP LOGISTICA I"/>
    <s v="ASSISTENTE"/>
    <s v="MAT_289"/>
    <x v="288"/>
    <x v="0"/>
    <x v="0"/>
    <x v="288"/>
    <x v="9"/>
    <x v="288"/>
    <s v="Concluído"/>
    <n v="7"/>
    <s v="100%"/>
    <x v="1"/>
    <n v="78"/>
    <n v="78"/>
  </r>
  <r>
    <x v="289"/>
    <s v="ASSISTENTE DE OP LOGISTICA I"/>
    <s v="ASSISTENTE"/>
    <s v="MAT_290"/>
    <x v="289"/>
    <x v="2"/>
    <x v="0"/>
    <x v="289"/>
    <x v="24"/>
    <x v="289"/>
    <s v="Concluído"/>
    <n v="9"/>
    <s v="53%"/>
    <x v="0"/>
    <n v="108"/>
    <n v="57"/>
  </r>
  <r>
    <x v="290"/>
    <s v="ASSISTENTE DE OP LOGISTICA I"/>
    <s v="ASSISTENTE"/>
    <s v="MAT_291"/>
    <x v="290"/>
    <x v="7"/>
    <x v="0"/>
    <x v="290"/>
    <x v="2"/>
    <x v="290"/>
    <s v="Concluído"/>
    <n v="7"/>
    <s v="94%"/>
    <x v="0"/>
    <n v="62"/>
    <n v="58"/>
  </r>
  <r>
    <x v="291"/>
    <s v="COORDENADOR DE LOGISTICA"/>
    <s v="COORDENADOR"/>
    <s v="MAT_292"/>
    <x v="291"/>
    <x v="0"/>
    <x v="0"/>
    <x v="291"/>
    <x v="26"/>
    <x v="291"/>
    <s v="Concluído"/>
    <n v="7"/>
    <s v="100%"/>
    <x v="1"/>
    <n v="82"/>
    <n v="82"/>
  </r>
  <r>
    <x v="292"/>
    <s v="COORDENADOR DE LOGISTICA"/>
    <s v="COORDENADOR"/>
    <s v="MAT_293"/>
    <x v="292"/>
    <x v="2"/>
    <x v="0"/>
    <x v="292"/>
    <x v="5"/>
    <x v="292"/>
    <s v="Concluído"/>
    <n v="5"/>
    <s v="100%"/>
    <x v="1"/>
    <n v="62"/>
    <n v="62"/>
  </r>
  <r>
    <x v="293"/>
    <s v="ASSISTENTE DE OP LOGISTICA III"/>
    <s v="ASSISTENTE"/>
    <s v="MAT_294"/>
    <x v="293"/>
    <x v="0"/>
    <x v="0"/>
    <x v="293"/>
    <x v="13"/>
    <x v="293"/>
    <s v="Concluído"/>
    <n v="9"/>
    <s v="66%"/>
    <x v="0"/>
    <n v="106"/>
    <n v="70"/>
  </r>
  <r>
    <x v="294"/>
    <s v="ASSISTENTE DE OP LOGISTICA I"/>
    <s v="ASSISTENTE"/>
    <s v="MAT_295"/>
    <x v="294"/>
    <x v="8"/>
    <x v="0"/>
    <x v="294"/>
    <x v="6"/>
    <x v="294"/>
    <s v="Concluído"/>
    <n v="7"/>
    <s v="100%"/>
    <x v="1"/>
    <n v="62"/>
    <n v="62"/>
  </r>
  <r>
    <x v="295"/>
    <s v="ANALISTA DE CUSTOMER SERVICE III"/>
    <s v="PROFISSIONAIS_III"/>
    <s v="MAT_296"/>
    <x v="295"/>
    <x v="0"/>
    <x v="2"/>
    <x v="295"/>
    <x v="10"/>
    <x v="295"/>
    <s v="Concluído"/>
    <n v="5"/>
    <s v="100%"/>
    <x v="1"/>
    <n v="46"/>
    <n v="46"/>
  </r>
  <r>
    <x v="296"/>
    <s v="ANALISTA DE CUSTOMER SERVICE I"/>
    <s v="PROFISSIONAIS_I"/>
    <s v="MAT_297"/>
    <x v="296"/>
    <x v="0"/>
    <x v="2"/>
    <x v="296"/>
    <x v="10"/>
    <x v="296"/>
    <s v="Concluído"/>
    <n v="7"/>
    <s v="87%"/>
    <x v="0"/>
    <n v="78"/>
    <n v="68"/>
  </r>
  <r>
    <x v="297"/>
    <s v="ASSISTENTE DE OP LOGISTICA II"/>
    <s v="ASSISTENTE"/>
    <s v="MAT_298"/>
    <x v="297"/>
    <x v="0"/>
    <x v="1"/>
    <x v="297"/>
    <x v="3"/>
    <x v="297"/>
    <s v="Concluído"/>
    <n v="9"/>
    <s v="100%"/>
    <x v="1"/>
    <n v="76"/>
    <n v="76"/>
  </r>
  <r>
    <x v="298"/>
    <s v="ANALISTA DE PLANEJ LOGIST II"/>
    <s v="PROFISSIONAIS_II"/>
    <s v="MAT_299"/>
    <x v="298"/>
    <x v="0"/>
    <x v="1"/>
    <x v="298"/>
    <x v="27"/>
    <x v="298"/>
    <s v="Concluído"/>
    <n v="7"/>
    <s v="53%"/>
    <x v="0"/>
    <n v="58"/>
    <n v="31"/>
  </r>
  <r>
    <x v="299"/>
    <s v="ASSISTENTE DE OP LOGISTICA II"/>
    <s v="ASSISTENTE"/>
    <s v="MAT_300"/>
    <x v="299"/>
    <x v="0"/>
    <x v="0"/>
    <x v="299"/>
    <x v="11"/>
    <x v="299"/>
    <s v="Concluído"/>
    <n v="7"/>
    <s v="100%"/>
    <x v="1"/>
    <n v="64"/>
    <n v="64"/>
  </r>
  <r>
    <x v="300"/>
    <s v="SUPERVISOR DE ALMOXARIFADO"/>
    <s v="SUPERVISOR"/>
    <s v="MAT_301"/>
    <x v="300"/>
    <x v="7"/>
    <x v="0"/>
    <x v="300"/>
    <x v="24"/>
    <x v="300"/>
    <s v="Concluído"/>
    <n v="9"/>
    <s v="100%"/>
    <x v="1"/>
    <n v="100"/>
    <n v="100"/>
  </r>
  <r>
    <x v="301"/>
    <s v="ASSISTENTE DE OP LOGISTICA III"/>
    <s v="ASSISTENTE"/>
    <s v="MAT_302"/>
    <x v="301"/>
    <x v="4"/>
    <x v="0"/>
    <x v="301"/>
    <x v="2"/>
    <x v="301"/>
    <s v="Concluído"/>
    <n v="7"/>
    <s v="87%"/>
    <x v="0"/>
    <n v="62"/>
    <n v="54"/>
  </r>
  <r>
    <x v="302"/>
    <s v="ASSISTENTE DE OP LOGISTICA II"/>
    <s v="ASSISTENTE"/>
    <s v="MAT_303"/>
    <x v="302"/>
    <x v="0"/>
    <x v="1"/>
    <x v="302"/>
    <x v="27"/>
    <x v="302"/>
    <s v="Concluído"/>
    <n v="7"/>
    <s v="100%"/>
    <x v="1"/>
    <n v="58"/>
    <n v="58"/>
  </r>
  <r>
    <x v="303"/>
    <s v="ASSISTENTE ADMINISTRATIVO"/>
    <s v="ASSISTENTE"/>
    <s v="MAT_304"/>
    <x v="303"/>
    <x v="3"/>
    <x v="0"/>
    <x v="303"/>
    <x v="2"/>
    <x v="303"/>
    <s v="Concluído"/>
    <n v="7"/>
    <s v="100%"/>
    <x v="1"/>
    <n v="78"/>
    <n v="78"/>
  </r>
  <r>
    <x v="304"/>
    <s v="ESTAGIARIO"/>
    <s v="ESTAGIARIO"/>
    <s v="MAT_305"/>
    <x v="304"/>
    <x v="2"/>
    <x v="0"/>
    <x v="304"/>
    <x v="2"/>
    <x v="304"/>
    <s v="Concluído"/>
    <n v="9"/>
    <s v="86%"/>
    <x v="0"/>
    <n v="104"/>
    <n v="89"/>
  </r>
  <r>
    <x v="305"/>
    <s v="ANALISTA DE PLANEJ LOGIST I"/>
    <s v="PROFISSIONAIS_I"/>
    <s v="MAT_306"/>
    <x v="305"/>
    <x v="0"/>
    <x v="1"/>
    <x v="305"/>
    <x v="27"/>
    <x v="305"/>
    <s v="Concluído"/>
    <n v="7"/>
    <s v="31%"/>
    <x v="0"/>
    <n v="58"/>
    <n v="18"/>
  </r>
  <r>
    <x v="306"/>
    <s v="SUPERVISOR DE LOGISTICA"/>
    <s v="SUPERVISOR"/>
    <s v="MAT_307"/>
    <x v="306"/>
    <x v="2"/>
    <x v="0"/>
    <x v="306"/>
    <x v="21"/>
    <x v="306"/>
    <s v="Concluído"/>
    <n v="5"/>
    <s v="100%"/>
    <x v="1"/>
    <n v="76"/>
    <n v="76"/>
  </r>
  <r>
    <x v="307"/>
    <s v="ANALISTA DE PLANEJ LOGIST II"/>
    <s v="PROFISSIONAIS_II"/>
    <s v="MAT_308"/>
    <x v="307"/>
    <x v="0"/>
    <x v="1"/>
    <x v="307"/>
    <x v="22"/>
    <x v="307"/>
    <s v="Concluído"/>
    <n v="7"/>
    <s v="100%"/>
    <x v="1"/>
    <n v="78"/>
    <n v="78"/>
  </r>
  <r>
    <x v="308"/>
    <s v="GERENTE DE PLANEJ LOGISTICO"/>
    <s v="GERENTE"/>
    <s v="MAT_309"/>
    <x v="308"/>
    <x v="3"/>
    <x v="1"/>
    <x v="308"/>
    <x v="3"/>
    <x v="308"/>
    <s v="Concluído"/>
    <n v="8"/>
    <s v="100%"/>
    <x v="1"/>
    <n v="83"/>
    <n v="83"/>
  </r>
  <r>
    <x v="309"/>
    <s v="SUPERVISOR DE LOGISTICA"/>
    <s v="SUPERVISOR"/>
    <s v="MAT_310"/>
    <x v="309"/>
    <x v="0"/>
    <x v="0"/>
    <x v="309"/>
    <x v="0"/>
    <x v="309"/>
    <s v="Concluído"/>
    <n v="6"/>
    <s v="100%"/>
    <x v="1"/>
    <n v="95"/>
    <n v="95"/>
  </r>
  <r>
    <x v="310"/>
    <s v="COORDENADOR DE LOGISTICA"/>
    <s v="COORDENADOR"/>
    <s v="MAT_311"/>
    <x v="310"/>
    <x v="3"/>
    <x v="0"/>
    <x v="310"/>
    <x v="0"/>
    <x v="310"/>
    <s v="Concluído"/>
    <n v="7"/>
    <s v="73%"/>
    <x v="0"/>
    <n v="52"/>
    <n v="38"/>
  </r>
  <r>
    <x v="311"/>
    <s v="ASSISTENTE DE OP LOGISTICA II"/>
    <s v="ASSISTENTE"/>
    <s v="MAT_312"/>
    <x v="311"/>
    <x v="5"/>
    <x v="0"/>
    <x v="311"/>
    <x v="21"/>
    <x v="311"/>
    <s v="Concluído"/>
    <n v="9"/>
    <s v="100%"/>
    <x v="1"/>
    <n v="104"/>
    <n v="104"/>
  </r>
  <r>
    <x v="312"/>
    <s v="ASSISTENTE DE OP LOGISTICA I"/>
    <s v="ASSISTENTE"/>
    <s v="MAT_313"/>
    <x v="312"/>
    <x v="0"/>
    <x v="0"/>
    <x v="312"/>
    <x v="13"/>
    <x v="312"/>
    <s v="Concluído"/>
    <n v="9"/>
    <s v="53%"/>
    <x v="0"/>
    <n v="92"/>
    <n v="49"/>
  </r>
  <r>
    <x v="313"/>
    <s v="SUPERVISOR DE LOGISTICA"/>
    <s v="SUPERVISOR"/>
    <s v="MAT_314"/>
    <x v="313"/>
    <x v="0"/>
    <x v="0"/>
    <x v="313"/>
    <x v="2"/>
    <x v="313"/>
    <s v="Concluído"/>
    <n v="7"/>
    <s v="20%"/>
    <x v="0"/>
    <n v="82"/>
    <n v="16"/>
  </r>
  <r>
    <x v="314"/>
    <s v="ASSISTENTE DE OP LOGISTICA II"/>
    <s v="ASSISTENTE"/>
    <s v="MAT_315"/>
    <x v="314"/>
    <x v="7"/>
    <x v="0"/>
    <x v="314"/>
    <x v="2"/>
    <x v="314"/>
    <s v="Concluído"/>
    <n v="7"/>
    <s v="100%"/>
    <x v="1"/>
    <n v="62"/>
    <n v="62"/>
  </r>
  <r>
    <x v="315"/>
    <s v="ASSISTENTE DE OP LOGISTICA I"/>
    <s v="ASSISTENTE"/>
    <s v="MAT_316"/>
    <x v="315"/>
    <x v="0"/>
    <x v="0"/>
    <x v="315"/>
    <x v="26"/>
    <x v="315"/>
    <s v="Concluído"/>
    <n v="9"/>
    <s v="66%"/>
    <x v="0"/>
    <n v="80"/>
    <n v="53"/>
  </r>
  <r>
    <x v="316"/>
    <s v="ANALISTA DE PLANEJ LOGIST II"/>
    <s v="PROFISSIONAIS_II"/>
    <s v="MAT_317"/>
    <x v="316"/>
    <x v="0"/>
    <x v="0"/>
    <x v="316"/>
    <x v="13"/>
    <x v="316"/>
    <s v="Concluído"/>
    <n v="9"/>
    <s v="87%"/>
    <x v="0"/>
    <n v="106"/>
    <n v="92"/>
  </r>
  <r>
    <x v="317"/>
    <s v="GERENTE DE LOGISTICA"/>
    <s v="GERENTE"/>
    <s v="MAT_318"/>
    <x v="317"/>
    <x v="0"/>
    <x v="4"/>
    <x v="317"/>
    <x v="25"/>
    <x v="317"/>
    <s v="Concluído"/>
    <n v="12"/>
    <s v="100%"/>
    <x v="1"/>
    <n v="81"/>
    <n v="81"/>
  </r>
  <r>
    <x v="318"/>
    <s v="ANALISTA DE PLANEJ LOGIST III"/>
    <s v="PROFISSIONAIS_III"/>
    <s v="MAT_319"/>
    <x v="318"/>
    <x v="2"/>
    <x v="1"/>
    <x v="318"/>
    <x v="3"/>
    <x v="318"/>
    <s v="Concluído"/>
    <n v="7"/>
    <s v="76%"/>
    <x v="0"/>
    <n v="58"/>
    <n v="44"/>
  </r>
  <r>
    <x v="319"/>
    <s v="SUPERVISOR DE LOGISTICA"/>
    <s v="SUPERVISOR"/>
    <s v="MAT_320"/>
    <x v="319"/>
    <x v="2"/>
    <x v="0"/>
    <x v="319"/>
    <x v="2"/>
    <x v="319"/>
    <s v="Concluído"/>
    <n v="7"/>
    <s v="18%"/>
    <x v="0"/>
    <n v="66"/>
    <n v="12"/>
  </r>
  <r>
    <x v="320"/>
    <s v="ASSISTENTE DE OP LOGISTICA III"/>
    <s v="ASSISTENTE"/>
    <s v="MAT_321"/>
    <x v="320"/>
    <x v="10"/>
    <x v="0"/>
    <x v="320"/>
    <x v="6"/>
    <x v="320"/>
    <s v="Concluído"/>
    <n v="9"/>
    <s v="100%"/>
    <x v="1"/>
    <n v="106"/>
    <n v="106"/>
  </r>
  <r>
    <x v="321"/>
    <s v="COORDENADOR DE LOGISTICA"/>
    <s v="COORDENADOR"/>
    <s v="MAT_322"/>
    <x v="321"/>
    <x v="10"/>
    <x v="0"/>
    <x v="321"/>
    <x v="0"/>
    <x v="321"/>
    <s v="Concluído"/>
    <n v="7"/>
    <s v="100%"/>
    <x v="1"/>
    <n v="118"/>
    <n v="118"/>
  </r>
  <r>
    <x v="322"/>
    <s v="ANALISTA DE CUSTOMER SERVICE I"/>
    <s v="PROFISSIONAIS_I"/>
    <s v="MAT_323"/>
    <x v="322"/>
    <x v="7"/>
    <x v="2"/>
    <x v="322"/>
    <x v="10"/>
    <x v="322"/>
    <s v="Concluído"/>
    <n v="7"/>
    <s v="100%"/>
    <x v="1"/>
    <n v="52"/>
    <n v="52"/>
  </r>
  <r>
    <x v="323"/>
    <s v="ANALISTA DE PLANEJ LOGIST III"/>
    <s v="PROFISSIONAIS_III"/>
    <s v="MAT_324"/>
    <x v="323"/>
    <x v="0"/>
    <x v="3"/>
    <x v="323"/>
    <x v="36"/>
    <x v="323"/>
    <s v="Concluído"/>
    <n v="9"/>
    <s v="90%"/>
    <x v="0"/>
    <n v="78"/>
    <n v="70"/>
  </r>
  <r>
    <x v="324"/>
    <s v="ESPECIALISTA DE LOGISTICA"/>
    <s v="ESPECIALISTA"/>
    <s v="MAT_325"/>
    <x v="324"/>
    <x v="3"/>
    <x v="1"/>
    <x v="324"/>
    <x v="18"/>
    <x v="324"/>
    <s v="Concluído"/>
    <n v="5"/>
    <s v="45%"/>
    <x v="0"/>
    <n v="62"/>
    <n v="28"/>
  </r>
  <r>
    <x v="325"/>
    <s v="GERENTE REGIONAL DE LOGISTICA"/>
    <s v="GERENTE"/>
    <s v="MAT_326"/>
    <x v="325"/>
    <x v="4"/>
    <x v="0"/>
    <x v="325"/>
    <x v="4"/>
    <x v="325"/>
    <s v="Concluído"/>
    <n v="6"/>
    <s v="100%"/>
    <x v="1"/>
    <n v="81"/>
    <n v="81"/>
  </r>
  <r>
    <x v="326"/>
    <s v="ASSISTENTE DE OP LOGISTICA I"/>
    <s v="ASSISTENTE"/>
    <s v="MAT_327"/>
    <x v="326"/>
    <x v="0"/>
    <x v="0"/>
    <x v="326"/>
    <x v="11"/>
    <x v="326"/>
    <s v="Concluído"/>
    <n v="9"/>
    <s v="100%"/>
    <x v="1"/>
    <n v="106"/>
    <n v="106"/>
  </r>
  <r>
    <x v="327"/>
    <s v="SUPERVISOR DE LOGISTICA"/>
    <s v="SUPERVISOR"/>
    <s v="MAT_328"/>
    <x v="327"/>
    <x v="3"/>
    <x v="0"/>
    <x v="327"/>
    <x v="7"/>
    <x v="327"/>
    <s v="Concluído"/>
    <n v="7"/>
    <s v="100%"/>
    <x v="1"/>
    <n v="82"/>
    <n v="82"/>
  </r>
  <r>
    <x v="328"/>
    <s v="ASSISTENTE DE OP LOGISTICA II"/>
    <s v="ASSISTENTE"/>
    <s v="MAT_329"/>
    <x v="328"/>
    <x v="18"/>
    <x v="0"/>
    <x v="328"/>
    <x v="0"/>
    <x v="328"/>
    <s v="Concluído"/>
    <n v="9"/>
    <s v="9%"/>
    <x v="0"/>
    <n v="106"/>
    <n v="10"/>
  </r>
  <r>
    <x v="329"/>
    <s v="SUPERVISOR DE LOGISTICA"/>
    <s v="SUPERVISOR"/>
    <s v="MAT_330"/>
    <x v="329"/>
    <x v="7"/>
    <x v="0"/>
    <x v="329"/>
    <x v="4"/>
    <x v="329"/>
    <s v="Concluído"/>
    <n v="5"/>
    <s v="100%"/>
    <x v="1"/>
    <n v="76"/>
    <n v="76"/>
  </r>
  <r>
    <x v="330"/>
    <s v="SUPERVISOR DE LOGISTICA"/>
    <s v="SUPERVISOR"/>
    <s v="MAT_331"/>
    <x v="330"/>
    <x v="7"/>
    <x v="0"/>
    <x v="330"/>
    <x v="0"/>
    <x v="330"/>
    <s v="Concluído"/>
    <n v="7"/>
    <s v="100%"/>
    <x v="1"/>
    <n v="98"/>
    <n v="98"/>
  </r>
  <r>
    <x v="331"/>
    <s v="GERENTE REGIONAL DE LOGISTICA"/>
    <s v="GERENTE"/>
    <s v="MAT_332"/>
    <x v="331"/>
    <x v="6"/>
    <x v="0"/>
    <x v="331"/>
    <x v="5"/>
    <x v="331"/>
    <s v="Concluído"/>
    <n v="7"/>
    <s v="100%"/>
    <x v="1"/>
    <n v="84"/>
    <n v="84"/>
  </r>
  <r>
    <x v="332"/>
    <s v="ANALISTA DE LOGISTICA I"/>
    <s v="PROFISSIONAIS_I"/>
    <s v="MAT_333"/>
    <x v="332"/>
    <x v="18"/>
    <x v="0"/>
    <x v="332"/>
    <x v="0"/>
    <x v="332"/>
    <s v="Concluído"/>
    <n v="7"/>
    <s v="100%"/>
    <x v="1"/>
    <n v="80"/>
    <n v="80"/>
  </r>
  <r>
    <x v="333"/>
    <s v="GERENTE REGIONAL DE LOGISTICA"/>
    <s v="GERENTE"/>
    <s v="MAT_334"/>
    <x v="333"/>
    <x v="0"/>
    <x v="0"/>
    <x v="333"/>
    <x v="5"/>
    <x v="333"/>
    <s v="Concluído"/>
    <n v="7"/>
    <s v="54%"/>
    <x v="0"/>
    <n v="82"/>
    <n v="44"/>
  </r>
  <r>
    <x v="334"/>
    <s v="ANALISTA DE PLANEJ LOGIST II"/>
    <s v="PROFISSIONAIS_II"/>
    <s v="MAT_335"/>
    <x v="334"/>
    <x v="4"/>
    <x v="1"/>
    <x v="334"/>
    <x v="3"/>
    <x v="334"/>
    <s v="Concluído"/>
    <n v="5"/>
    <s v="100%"/>
    <x v="1"/>
    <n v="62"/>
    <n v="62"/>
  </r>
  <r>
    <x v="335"/>
    <s v="ANALISTA DE LOGISTICA I"/>
    <s v="PROFISSIONAIS_I"/>
    <s v="MAT_336"/>
    <x v="335"/>
    <x v="7"/>
    <x v="0"/>
    <x v="335"/>
    <x v="4"/>
    <x v="335"/>
    <s v="Concluído"/>
    <n v="9"/>
    <s v="100%"/>
    <x v="1"/>
    <n v="100"/>
    <n v="100"/>
  </r>
  <r>
    <x v="336"/>
    <s v="ASSISTENTE DE OP LOGISTICA III"/>
    <s v="ASSISTENTE"/>
    <s v="MAT_337"/>
    <x v="336"/>
    <x v="10"/>
    <x v="0"/>
    <x v="336"/>
    <x v="0"/>
    <x v="336"/>
    <s v="Concluído"/>
    <n v="9"/>
    <s v="100%"/>
    <x v="1"/>
    <n v="72"/>
    <n v="72"/>
  </r>
  <r>
    <x v="337"/>
    <s v="GERENTE EXECUTIVO PLANEJ INTEGRADO"/>
    <s v="GERENTE"/>
    <s v="MAT_338"/>
    <x v="337"/>
    <x v="7"/>
    <x v="1"/>
    <x v="337"/>
    <x v="16"/>
    <x v="337"/>
    <s v="Concluído"/>
    <n v="7"/>
    <s v="100%"/>
    <x v="1"/>
    <n v="78"/>
    <n v="78"/>
  </r>
  <r>
    <x v="338"/>
    <s v="ESTAGIARIO"/>
    <s v="ESTAGIARIO"/>
    <s v="MAT_339"/>
    <x v="338"/>
    <x v="0"/>
    <x v="1"/>
    <x v="338"/>
    <x v="22"/>
    <x v="338"/>
    <s v="Concluído"/>
    <n v="9"/>
    <s v="6%"/>
    <x v="0"/>
    <n v="80"/>
    <n v="5"/>
  </r>
  <r>
    <x v="339"/>
    <s v="COORDENADOR DE LOGISTICA"/>
    <s v="COORDENADOR"/>
    <s v="MAT_340"/>
    <x v="339"/>
    <x v="3"/>
    <x v="0"/>
    <x v="339"/>
    <x v="34"/>
    <x v="339"/>
    <s v="Concluído"/>
    <n v="7"/>
    <s v="100%"/>
    <x v="1"/>
    <n v="84"/>
    <n v="84"/>
  </r>
  <r>
    <x v="340"/>
    <s v="ANALISTA DE CUSTOMER SERVICE II"/>
    <s v="PROFISSIONAIS_II"/>
    <s v="MAT_341"/>
    <x v="340"/>
    <x v="7"/>
    <x v="2"/>
    <x v="340"/>
    <x v="20"/>
    <x v="340"/>
    <s v="Concluído"/>
    <n v="7"/>
    <s v="100%"/>
    <x v="1"/>
    <n v="78"/>
    <n v="78"/>
  </r>
  <r>
    <x v="341"/>
    <s v="COORDENADOR DE PLANEJAMENTO LOGISTI"/>
    <s v="COORDENADOR"/>
    <s v="MAT_342"/>
    <x v="341"/>
    <x v="0"/>
    <x v="0"/>
    <x v="341"/>
    <x v="13"/>
    <x v="341"/>
    <s v="Concluído"/>
    <n v="7"/>
    <s v="43%"/>
    <x v="0"/>
    <n v="82"/>
    <n v="35"/>
  </r>
  <r>
    <x v="342"/>
    <s v="ANALISTA DE CUSTOMER SERVICE III"/>
    <s v="PROFISSIONAIS_III"/>
    <s v="MAT_343"/>
    <x v="342"/>
    <x v="0"/>
    <x v="2"/>
    <x v="342"/>
    <x v="10"/>
    <x v="342"/>
    <s v="Concluído"/>
    <n v="9"/>
    <s v="57%"/>
    <x v="0"/>
    <n v="80"/>
    <n v="46"/>
  </r>
  <r>
    <x v="343"/>
    <s v="ANALISTA DE CUSTOMER SERVICE II"/>
    <s v="PROFISSIONAIS_II"/>
    <s v="MAT_344"/>
    <x v="343"/>
    <x v="0"/>
    <x v="2"/>
    <x v="343"/>
    <x v="10"/>
    <x v="343"/>
    <s v="Concluído"/>
    <n v="7"/>
    <s v="94%"/>
    <x v="0"/>
    <n v="94"/>
    <n v="88"/>
  </r>
  <r>
    <x v="344"/>
    <s v="SUPERVISOR DE LOGISTICA"/>
    <s v="SUPERVISOR"/>
    <s v="MAT_345"/>
    <x v="344"/>
    <x v="0"/>
    <x v="0"/>
    <x v="344"/>
    <x v="6"/>
    <x v="344"/>
    <s v="Concluído"/>
    <n v="7"/>
    <s v="100%"/>
    <x v="1"/>
    <n v="66"/>
    <n v="66"/>
  </r>
  <r>
    <x v="345"/>
    <s v="ASSISTENTE DE OP LOGISTICA I"/>
    <s v="ASSISTENTE"/>
    <s v="MAT_346"/>
    <x v="345"/>
    <x v="6"/>
    <x v="0"/>
    <x v="345"/>
    <x v="5"/>
    <x v="345"/>
    <s v="Concluído"/>
    <n v="28"/>
    <s v="100%"/>
    <x v="1"/>
    <n v="78"/>
    <n v="78"/>
  </r>
  <r>
    <x v="346"/>
    <s v="ASSISTENTE ADMINISTRATIVO"/>
    <s v="ASSISTENTE"/>
    <s v="MAT_347"/>
    <x v="346"/>
    <x v="3"/>
    <x v="0"/>
    <x v="346"/>
    <x v="7"/>
    <x v="346"/>
    <s v="Concluído"/>
    <n v="7"/>
    <s v="100%"/>
    <x v="1"/>
    <n v="62"/>
    <n v="62"/>
  </r>
  <r>
    <x v="347"/>
    <s v="COORDENADOR DE CUSTOMER SERVICE"/>
    <s v="COORDENADOR"/>
    <s v="MAT_348"/>
    <x v="347"/>
    <x v="0"/>
    <x v="2"/>
    <x v="347"/>
    <x v="10"/>
    <x v="347"/>
    <s v="Concluído"/>
    <n v="6"/>
    <s v="18%"/>
    <x v="0"/>
    <n v="65"/>
    <n v="12"/>
  </r>
  <r>
    <x v="348"/>
    <s v="ANALISTA DE PLANEJ LOGIST III"/>
    <s v="PROFISSIONAIS_III"/>
    <s v="MAT_349"/>
    <x v="348"/>
    <x v="0"/>
    <x v="4"/>
    <x v="348"/>
    <x v="25"/>
    <x v="348"/>
    <s v="Concluído"/>
    <n v="18"/>
    <s v="100%"/>
    <x v="1"/>
    <n v="80"/>
    <n v="80"/>
  </r>
  <r>
    <x v="349"/>
    <s v="ESPECIALISTA DE LOGISTICA"/>
    <s v="ESPECIALISTA"/>
    <s v="MAT_350"/>
    <x v="349"/>
    <x v="7"/>
    <x v="3"/>
    <x v="349"/>
    <x v="36"/>
    <x v="349"/>
    <s v="Concluído"/>
    <n v="7"/>
    <s v="42%"/>
    <x v="0"/>
    <n v="84"/>
    <n v="35"/>
  </r>
  <r>
    <x v="350"/>
    <s v="ANALISTA DE PLANEJ LOGIST II"/>
    <s v="PROFISSIONAIS_II"/>
    <s v="MAT_351"/>
    <x v="350"/>
    <x v="0"/>
    <x v="1"/>
    <x v="350"/>
    <x v="3"/>
    <x v="350"/>
    <s v="Concluído"/>
    <n v="9"/>
    <s v="100%"/>
    <x v="1"/>
    <n v="80"/>
    <n v="80"/>
  </r>
  <r>
    <x v="351"/>
    <s v="ANALISTA DE CUSTOMER SERVICE II"/>
    <s v="PROFISSIONAIS_II"/>
    <s v="MAT_352"/>
    <x v="351"/>
    <x v="0"/>
    <x v="2"/>
    <x v="351"/>
    <x v="10"/>
    <x v="351"/>
    <s v="Concluído"/>
    <n v="5"/>
    <s v="100%"/>
    <x v="1"/>
    <n v="68"/>
    <n v="68"/>
  </r>
  <r>
    <x v="352"/>
    <s v="GERENTE DE PLANEJ LOGISTICO"/>
    <s v="GERENTE"/>
    <s v="MAT_353"/>
    <x v="352"/>
    <x v="0"/>
    <x v="1"/>
    <x v="352"/>
    <x v="27"/>
    <x v="352"/>
    <s v="Concluído"/>
    <n v="7"/>
    <s v="62%"/>
    <x v="0"/>
    <n v="84"/>
    <n v="52"/>
  </r>
  <r>
    <x v="353"/>
    <s v="ASSISTENTE DE OP LOGISTICA II"/>
    <s v="ASSISTENTE"/>
    <s v="MAT_354"/>
    <x v="353"/>
    <x v="0"/>
    <x v="0"/>
    <x v="353"/>
    <x v="26"/>
    <x v="353"/>
    <s v="Concluído"/>
    <n v="7"/>
    <s v="41%"/>
    <x v="0"/>
    <n v="64"/>
    <n v="26"/>
  </r>
  <r>
    <x v="354"/>
    <s v="COORDENADOR DE CUSTOMER SERVICE"/>
    <s v="COORDENADOR"/>
    <s v="MAT_355"/>
    <x v="354"/>
    <x v="0"/>
    <x v="2"/>
    <x v="354"/>
    <x v="10"/>
    <x v="354"/>
    <s v="Concluído"/>
    <n v="6"/>
    <s v="100%"/>
    <x v="1"/>
    <n v="81"/>
    <n v="81"/>
  </r>
  <r>
    <x v="355"/>
    <s v="ANALISTA DE PLANEJ LOGIST I"/>
    <s v="PROFISSIONAIS_I"/>
    <s v="MAT_356"/>
    <x v="355"/>
    <x v="0"/>
    <x v="0"/>
    <x v="355"/>
    <x v="11"/>
    <x v="355"/>
    <s v="Concluído"/>
    <n v="9"/>
    <s v="100%"/>
    <x v="1"/>
    <n v="106"/>
    <n v="106"/>
  </r>
  <r>
    <x v="356"/>
    <s v="GERENTE DE PLANEJ LOGISTICO"/>
    <s v="GERENTE"/>
    <s v="MAT_357"/>
    <x v="356"/>
    <x v="0"/>
    <x v="1"/>
    <x v="356"/>
    <x v="16"/>
    <x v="356"/>
    <s v="Concluído"/>
    <n v="6"/>
    <s v="100%"/>
    <x v="1"/>
    <n v="81"/>
    <n v="81"/>
  </r>
  <r>
    <x v="357"/>
    <s v="ASSISTENTE DE OP LOGISTICA II"/>
    <s v="ASSISTENTE"/>
    <s v="MAT_358"/>
    <x v="357"/>
    <x v="0"/>
    <x v="0"/>
    <x v="357"/>
    <x v="13"/>
    <x v="357"/>
    <s v="Concluído"/>
    <n v="9"/>
    <s v="100%"/>
    <x v="1"/>
    <n v="72"/>
    <n v="72"/>
  </r>
  <r>
    <x v="358"/>
    <s v="ASSISTENTE DE OP LOGISTICA III"/>
    <s v="ASSISTENTE"/>
    <s v="MAT_359"/>
    <x v="358"/>
    <x v="6"/>
    <x v="0"/>
    <x v="358"/>
    <x v="6"/>
    <x v="358"/>
    <s v="Concluído"/>
    <n v="9"/>
    <s v="100%"/>
    <x v="1"/>
    <n v="84"/>
    <n v="84"/>
  </r>
  <r>
    <x v="359"/>
    <s v="ANALISTA DE PLANEJ LOGIST I"/>
    <s v="PROFISSIONAIS_I"/>
    <s v="MAT_360"/>
    <x v="359"/>
    <x v="0"/>
    <x v="0"/>
    <x v="359"/>
    <x v="23"/>
    <x v="359"/>
    <s v="Concluído"/>
    <n v="9"/>
    <s v="100%"/>
    <x v="1"/>
    <n v="80"/>
    <n v="80"/>
  </r>
  <r>
    <x v="360"/>
    <s v="SUPERVISOR DE LOGISTICA"/>
    <s v="SUPERVISOR"/>
    <s v="MAT_361"/>
    <x v="360"/>
    <x v="7"/>
    <x v="0"/>
    <x v="360"/>
    <x v="4"/>
    <x v="360"/>
    <s v="Concluído"/>
    <n v="7"/>
    <s v="100%"/>
    <x v="1"/>
    <n v="98"/>
    <n v="98"/>
  </r>
  <r>
    <x v="361"/>
    <s v="ANALISTA DE PLANEJ LOGIST III"/>
    <s v="PROFISSIONAIS_III"/>
    <s v="MAT_362"/>
    <x v="361"/>
    <x v="0"/>
    <x v="1"/>
    <x v="361"/>
    <x v="22"/>
    <x v="361"/>
    <s v="Concluído"/>
    <n v="7"/>
    <s v="92%"/>
    <x v="0"/>
    <n v="78"/>
    <n v="72"/>
  </r>
  <r>
    <x v="362"/>
    <s v="ANALISTA DE LOGISTICA I"/>
    <s v="PROFISSIONAIS_I"/>
    <s v="MAT_363"/>
    <x v="362"/>
    <x v="11"/>
    <x v="0"/>
    <x v="362"/>
    <x v="2"/>
    <x v="362"/>
    <s v="Concluído"/>
    <n v="7"/>
    <s v="100%"/>
    <x v="1"/>
    <n v="76"/>
    <n v="76"/>
  </r>
  <r>
    <x v="363"/>
    <s v="ESPECIALISTA DE LOGISTICA"/>
    <s v="ESPECIALISTA"/>
    <s v="MAT_364"/>
    <x v="363"/>
    <x v="6"/>
    <x v="0"/>
    <x v="363"/>
    <x v="5"/>
    <x v="363"/>
    <s v="Concluído"/>
    <n v="7"/>
    <s v="100%"/>
    <x v="1"/>
    <n v="66"/>
    <n v="66"/>
  </r>
  <r>
    <x v="364"/>
    <s v="ASSISTENTE DE OP LOGISTICA I"/>
    <s v="ASSISTENTE"/>
    <s v="MAT_365"/>
    <x v="364"/>
    <x v="6"/>
    <x v="0"/>
    <x v="364"/>
    <x v="5"/>
    <x v="364"/>
    <s v="Concluído"/>
    <n v="9"/>
    <s v="84%"/>
    <x v="0"/>
    <n v="86"/>
    <n v="72"/>
  </r>
  <r>
    <x v="365"/>
    <s v="SUPERVISOR DE LOGISTICA"/>
    <s v="SUPERVISOR"/>
    <s v="MAT_366"/>
    <x v="365"/>
    <x v="0"/>
    <x v="0"/>
    <x v="365"/>
    <x v="0"/>
    <x v="365"/>
    <s v="Concluído"/>
    <n v="6"/>
    <s v="41%"/>
    <x v="0"/>
    <n v="97"/>
    <n v="40"/>
  </r>
  <r>
    <x v="366"/>
    <s v="ANALISTA DE LOGISTICA I"/>
    <s v="PROFISSIONAIS_I"/>
    <s v="MAT_367"/>
    <x v="366"/>
    <x v="7"/>
    <x v="0"/>
    <x v="366"/>
    <x v="4"/>
    <x v="366"/>
    <s v="Concluído"/>
    <n v="9"/>
    <s v="100%"/>
    <x v="1"/>
    <n v="104"/>
    <n v="104"/>
  </r>
  <r>
    <x v="367"/>
    <s v="ANALISTA DE PLANEJ LOGIST III"/>
    <s v="PROFISSIONAIS_III"/>
    <s v="MAT_368"/>
    <x v="367"/>
    <x v="0"/>
    <x v="0"/>
    <x v="367"/>
    <x v="11"/>
    <x v="367"/>
    <s v="Concluído"/>
    <n v="7"/>
    <s v="68%"/>
    <x v="0"/>
    <n v="78"/>
    <n v="53"/>
  </r>
  <r>
    <x v="368"/>
    <s v="ASSISTENTE DE OP LOGISTICA I"/>
    <s v="ASSISTENTE"/>
    <s v="MAT_369"/>
    <x v="368"/>
    <x v="0"/>
    <x v="4"/>
    <x v="368"/>
    <x v="25"/>
    <x v="368"/>
    <s v="Concluído"/>
    <n v="9"/>
    <s v="100%"/>
    <x v="1"/>
    <n v="80"/>
    <n v="80"/>
  </r>
  <r>
    <x v="369"/>
    <s v="ASSISTENTE ADMINISTRATIVO"/>
    <s v="ASSISTENTE"/>
    <s v="MAT_370"/>
    <x v="369"/>
    <x v="3"/>
    <x v="0"/>
    <x v="369"/>
    <x v="5"/>
    <x v="369"/>
    <s v="Concluído"/>
    <n v="9"/>
    <s v="100%"/>
    <x v="1"/>
    <n v="86"/>
    <n v="86"/>
  </r>
  <r>
    <x v="370"/>
    <s v="ESTAGIARIO"/>
    <s v="ESTAGIARIO"/>
    <s v="MAT_371"/>
    <x v="370"/>
    <x v="7"/>
    <x v="1"/>
    <x v="370"/>
    <x v="3"/>
    <x v="370"/>
    <s v="Concluído"/>
    <n v="9"/>
    <s v="100%"/>
    <x v="1"/>
    <n v="80"/>
    <n v="80"/>
  </r>
  <r>
    <x v="371"/>
    <s v="ANALISTA DE PLANEJ LOGIST I"/>
    <s v="PROFISSIONAIS_I"/>
    <s v="MAT_372"/>
    <x v="371"/>
    <x v="2"/>
    <x v="1"/>
    <x v="371"/>
    <x v="3"/>
    <x v="371"/>
    <s v="Concluído"/>
    <n v="7"/>
    <s v="55%"/>
    <x v="0"/>
    <n v="64"/>
    <n v="35"/>
  </r>
  <r>
    <x v="372"/>
    <s v="ASSISTENTE DE OP LOGISTICA II"/>
    <s v="ASSISTENTE"/>
    <s v="MAT_373"/>
    <x v="372"/>
    <x v="0"/>
    <x v="0"/>
    <x v="372"/>
    <x v="2"/>
    <x v="372"/>
    <s v="Concluído"/>
    <n v="9"/>
    <s v="100%"/>
    <x v="1"/>
    <n v="104"/>
    <n v="104"/>
  </r>
  <r>
    <x v="373"/>
    <s v="ASSISTENTE DE OP LOGISTICA II"/>
    <s v="ASSISTENTE"/>
    <s v="MAT_374"/>
    <x v="373"/>
    <x v="4"/>
    <x v="0"/>
    <x v="373"/>
    <x v="2"/>
    <x v="373"/>
    <s v="Concluído"/>
    <n v="7"/>
    <s v="50%"/>
    <x v="0"/>
    <n v="58"/>
    <n v="29"/>
  </r>
  <r>
    <x v="374"/>
    <s v="ANALISTA DE PLANEJ LOGIST III"/>
    <s v="PROFISSIONAIS_III"/>
    <s v="MAT_375"/>
    <x v="374"/>
    <x v="7"/>
    <x v="1"/>
    <x v="374"/>
    <x v="3"/>
    <x v="374"/>
    <s v="Concluído"/>
    <n v="5"/>
    <s v="100%"/>
    <x v="1"/>
    <n v="68"/>
    <n v="68"/>
  </r>
  <r>
    <x v="375"/>
    <s v="GERENTE DE CUSTOMER SERVICE"/>
    <s v="GERENTE"/>
    <s v="MAT_376"/>
    <x v="375"/>
    <x v="0"/>
    <x v="2"/>
    <x v="375"/>
    <x v="10"/>
    <x v="375"/>
    <s v="Concluído"/>
    <n v="5"/>
    <s v="100%"/>
    <x v="1"/>
    <n v="64"/>
    <n v="64"/>
  </r>
  <r>
    <x v="376"/>
    <s v="ASSISTENTE DE OP LOGISTICA I"/>
    <s v="ASSISTENTE"/>
    <s v="MAT_377"/>
    <x v="376"/>
    <x v="0"/>
    <x v="0"/>
    <x v="376"/>
    <x v="11"/>
    <x v="376"/>
    <s v="Concluído"/>
    <n v="7"/>
    <s v="29%"/>
    <x v="0"/>
    <n v="62"/>
    <n v="18"/>
  </r>
  <r>
    <x v="377"/>
    <s v="ASSISTENTE DE OP LOGISTICA II"/>
    <s v="ASSISTENTE"/>
    <s v="MAT_378"/>
    <x v="377"/>
    <x v="0"/>
    <x v="0"/>
    <x v="377"/>
    <x v="11"/>
    <x v="377"/>
    <s v="Concluído"/>
    <n v="9"/>
    <s v="100%"/>
    <x v="1"/>
    <n v="102"/>
    <n v="102"/>
  </r>
  <r>
    <x v="378"/>
    <s v="ANALISTA DE PLANEJ LOGIST I"/>
    <s v="PROFISSIONAIS_I"/>
    <s v="MAT_379"/>
    <x v="378"/>
    <x v="0"/>
    <x v="1"/>
    <x v="378"/>
    <x v="27"/>
    <x v="378"/>
    <s v="Concluído"/>
    <n v="7"/>
    <s v="100%"/>
    <x v="1"/>
    <n v="64"/>
    <n v="64"/>
  </r>
  <r>
    <x v="379"/>
    <s v="ANALISTA DE LOGISTICA I"/>
    <s v="PROFISSIONAIS_I"/>
    <s v="MAT_380"/>
    <x v="379"/>
    <x v="0"/>
    <x v="0"/>
    <x v="379"/>
    <x v="2"/>
    <x v="379"/>
    <s v="Concluído"/>
    <n v="9"/>
    <s v="100%"/>
    <x v="1"/>
    <n v="81"/>
    <n v="81"/>
  </r>
  <r>
    <x v="380"/>
    <s v="COORDENADOR DE PLANEJAMENTO LOGISTI"/>
    <s v="COORDENADOR"/>
    <s v="MAT_381"/>
    <x v="380"/>
    <x v="0"/>
    <x v="1"/>
    <x v="380"/>
    <x v="27"/>
    <x v="380"/>
    <s v="Concluído"/>
    <n v="5"/>
    <s v="90%"/>
    <x v="0"/>
    <n v="62"/>
    <n v="56"/>
  </r>
  <r>
    <x v="381"/>
    <s v="ASSISTENTE DE OP LOGISTICA II"/>
    <s v="ASSISTENTE"/>
    <s v="MAT_382"/>
    <x v="381"/>
    <x v="3"/>
    <x v="0"/>
    <x v="381"/>
    <x v="24"/>
    <x v="381"/>
    <s v="Concluído"/>
    <n v="7"/>
    <s v="100%"/>
    <x v="1"/>
    <n v="72"/>
    <n v="72"/>
  </r>
  <r>
    <x v="382"/>
    <s v="ASSISTENTE ADMINISTRATIVO"/>
    <s v="ASSISTENTE"/>
    <s v="MAT_383"/>
    <x v="382"/>
    <x v="3"/>
    <x v="0"/>
    <x v="382"/>
    <x v="0"/>
    <x v="382"/>
    <s v="Concluído"/>
    <n v="9"/>
    <s v="55%"/>
    <x v="0"/>
    <n v="106"/>
    <n v="58"/>
  </r>
  <r>
    <x v="383"/>
    <s v="ASSISTENTE DE OP LOGISTICA II"/>
    <s v="ASSISTENTE"/>
    <s v="MAT_384"/>
    <x v="383"/>
    <x v="7"/>
    <x v="0"/>
    <x v="383"/>
    <x v="6"/>
    <x v="383"/>
    <s v="Concluído"/>
    <n v="9"/>
    <s v="100%"/>
    <x v="1"/>
    <n v="78"/>
    <n v="78"/>
  </r>
  <r>
    <x v="384"/>
    <s v="ASSISTENTE ADMINISTRATIVO"/>
    <s v="ASSISTENTE"/>
    <s v="MAT_385"/>
    <x v="384"/>
    <x v="3"/>
    <x v="0"/>
    <x v="384"/>
    <x v="0"/>
    <x v="384"/>
    <s v="Concluído"/>
    <n v="9"/>
    <s v="45%"/>
    <x v="0"/>
    <n v="80"/>
    <n v="36"/>
  </r>
  <r>
    <x v="385"/>
    <s v="ASSISTENTE DE OP LOGISTICA I"/>
    <s v="ASSISTENTE"/>
    <s v="MAT_386"/>
    <x v="385"/>
    <x v="13"/>
    <x v="0"/>
    <x v="385"/>
    <x v="2"/>
    <x v="385"/>
    <s v="Concluído"/>
    <n v="7"/>
    <s v="100%"/>
    <x v="1"/>
    <n v="84"/>
    <n v="84"/>
  </r>
  <r>
    <x v="386"/>
    <s v="ANALISTA DE PLANEJ LOGIST II"/>
    <s v="PROFISSIONAIS_II"/>
    <s v="MAT_387"/>
    <x v="386"/>
    <x v="0"/>
    <x v="1"/>
    <x v="386"/>
    <x v="3"/>
    <x v="386"/>
    <s v="Concluído"/>
    <n v="7"/>
    <s v="100%"/>
    <x v="1"/>
    <n v="78"/>
    <n v="78"/>
  </r>
  <r>
    <x v="387"/>
    <s v="ASSISTENTE DE OP LOGISTICA III"/>
    <s v="ASSISTENTE"/>
    <s v="MAT_388"/>
    <x v="387"/>
    <x v="7"/>
    <x v="0"/>
    <x v="387"/>
    <x v="15"/>
    <x v="387"/>
    <s v="Concluído"/>
    <n v="7"/>
    <s v="69%"/>
    <x v="0"/>
    <n v="62"/>
    <n v="43"/>
  </r>
  <r>
    <x v="388"/>
    <s v="ASSISTENTE DE OP LOGISTICA III"/>
    <s v="ASSISTENTE"/>
    <s v="MAT_389"/>
    <x v="388"/>
    <x v="0"/>
    <x v="0"/>
    <x v="388"/>
    <x v="11"/>
    <x v="388"/>
    <s v="Concluído"/>
    <n v="7"/>
    <s v="100%"/>
    <x v="1"/>
    <n v="62"/>
    <n v="62"/>
  </r>
  <r>
    <x v="389"/>
    <s v="ESPECIALISTA DE LOGISTICA"/>
    <s v="ESPECIALISTA"/>
    <s v="MAT_390"/>
    <x v="389"/>
    <x v="2"/>
    <x v="0"/>
    <x v="389"/>
    <x v="15"/>
    <x v="389"/>
    <s v="Concluído"/>
    <n v="7"/>
    <s v="100%"/>
    <x v="1"/>
    <n v="82"/>
    <n v="82"/>
  </r>
  <r>
    <x v="390"/>
    <s v="ASSISTENTE DE OP LOGISTICA I"/>
    <s v="ASSISTENTE"/>
    <s v="MAT_391"/>
    <x v="390"/>
    <x v="0"/>
    <x v="0"/>
    <x v="390"/>
    <x v="11"/>
    <x v="390"/>
    <s v="Concluído"/>
    <n v="9"/>
    <s v="22%"/>
    <x v="0"/>
    <n v="108"/>
    <n v="24"/>
  </r>
  <r>
    <x v="391"/>
    <s v="ANALISTA DE LOGISTICA I"/>
    <s v="PROFISSIONAIS_I"/>
    <s v="MAT_392"/>
    <x v="391"/>
    <x v="3"/>
    <x v="0"/>
    <x v="391"/>
    <x v="38"/>
    <x v="391"/>
    <s v="Concluído"/>
    <n v="9"/>
    <s v="100%"/>
    <x v="1"/>
    <n v="106"/>
    <n v="106"/>
  </r>
  <r>
    <x v="392"/>
    <s v="ASSISTENTE DE OP LOGISTICA I"/>
    <s v="ASSISTENTE"/>
    <s v="MAT_393"/>
    <x v="392"/>
    <x v="6"/>
    <x v="0"/>
    <x v="392"/>
    <x v="5"/>
    <x v="392"/>
    <s v="Concluído"/>
    <n v="9"/>
    <s v="100%"/>
    <x v="1"/>
    <n v="72"/>
    <n v="72"/>
  </r>
  <r>
    <x v="393"/>
    <s v="LIDER DE LOGISTICA"/>
    <s v="LIDER_OPERACIONAL"/>
    <s v="MAT_394"/>
    <x v="393"/>
    <x v="2"/>
    <x v="0"/>
    <x v="393"/>
    <x v="2"/>
    <x v="393"/>
    <s v="Concluído"/>
    <n v="7"/>
    <s v="100%"/>
    <x v="1"/>
    <n v="50"/>
    <n v="50"/>
  </r>
  <r>
    <x v="394"/>
    <s v="ASSISTENTE DE OP LOGISTICA III"/>
    <s v="ASSISTENTE"/>
    <s v="MAT_395"/>
    <x v="394"/>
    <x v="0"/>
    <x v="0"/>
    <x v="394"/>
    <x v="0"/>
    <x v="394"/>
    <s v="Concluído"/>
    <n v="7"/>
    <s v="100%"/>
    <x v="1"/>
    <n v="98"/>
    <n v="98"/>
  </r>
  <r>
    <x v="395"/>
    <s v="ASSISTENTE DE OP LOGISTICA II"/>
    <s v="ASSISTENTE"/>
    <s v="MAT_396"/>
    <x v="395"/>
    <x v="0"/>
    <x v="0"/>
    <x v="395"/>
    <x v="0"/>
    <x v="395"/>
    <s v="Concluído"/>
    <n v="9"/>
    <s v="51%"/>
    <x v="0"/>
    <n v="80"/>
    <n v="41"/>
  </r>
  <r>
    <x v="396"/>
    <s v="COORDENADOR DE LOGISTICA"/>
    <s v="COORDENADOR"/>
    <s v="MAT_397"/>
    <x v="396"/>
    <x v="6"/>
    <x v="0"/>
    <x v="396"/>
    <x v="21"/>
    <x v="396"/>
    <s v="Concluído"/>
    <n v="7"/>
    <s v="100%"/>
    <x v="1"/>
    <n v="84"/>
    <n v="84"/>
  </r>
  <r>
    <x v="397"/>
    <s v="ASSISTENTE DE OP LOGISTICA I"/>
    <s v="ASSISTENTE"/>
    <s v="MAT_398"/>
    <x v="397"/>
    <x v="0"/>
    <x v="0"/>
    <x v="397"/>
    <x v="14"/>
    <x v="397"/>
    <s v="Concluído"/>
    <n v="9"/>
    <s v="100%"/>
    <x v="1"/>
    <n v="94"/>
    <n v="94"/>
  </r>
  <r>
    <x v="398"/>
    <s v="ANALISTA DE LOGISTICA II"/>
    <s v="PROFISSIONAIS_II"/>
    <s v="MAT_399"/>
    <x v="398"/>
    <x v="4"/>
    <x v="0"/>
    <x v="398"/>
    <x v="35"/>
    <x v="398"/>
    <s v="Concluído"/>
    <n v="7"/>
    <s v="100%"/>
    <x v="1"/>
    <n v="80"/>
    <n v="80"/>
  </r>
  <r>
    <x v="399"/>
    <s v="ASSISTENTE ADMINISTRATIVO"/>
    <s v="ASSISTENTE"/>
    <s v="MAT_400"/>
    <x v="399"/>
    <x v="3"/>
    <x v="0"/>
    <x v="399"/>
    <x v="0"/>
    <x v="399"/>
    <s v="Concluído"/>
    <n v="9"/>
    <s v="41%"/>
    <x v="0"/>
    <n v="70"/>
    <n v="29"/>
  </r>
  <r>
    <x v="400"/>
    <s v="GERENTE DE PLANEJ LOGISTICO"/>
    <s v="GERENTE"/>
    <s v="MAT_401"/>
    <x v="400"/>
    <x v="7"/>
    <x v="1"/>
    <x v="400"/>
    <x v="16"/>
    <x v="400"/>
    <s v="Concluído"/>
    <n v="6"/>
    <s v="100%"/>
    <x v="1"/>
    <n v="97"/>
    <n v="97"/>
  </r>
  <r>
    <x v="401"/>
    <s v="SUPERVISOR DE LOGISTICA"/>
    <s v="SUPERVISOR"/>
    <s v="MAT_402"/>
    <x v="401"/>
    <x v="7"/>
    <x v="0"/>
    <x v="401"/>
    <x v="0"/>
    <x v="401"/>
    <s v="Concluído"/>
    <n v="7"/>
    <s v="77%"/>
    <x v="0"/>
    <n v="98"/>
    <n v="75"/>
  </r>
  <r>
    <x v="402"/>
    <s v="ASSISTENTE ADMINISTRATIVO"/>
    <s v="ASSISTENTE"/>
    <s v="MAT_403"/>
    <x v="402"/>
    <x v="3"/>
    <x v="0"/>
    <x v="402"/>
    <x v="2"/>
    <x v="402"/>
    <s v="Concluído"/>
    <n v="9"/>
    <s v="100%"/>
    <x v="1"/>
    <n v="84"/>
    <n v="84"/>
  </r>
  <r>
    <x v="403"/>
    <s v="ASSISTENTE DE OP LOGISTICA III"/>
    <s v="ASSISTENTE"/>
    <s v="MAT_404"/>
    <x v="403"/>
    <x v="8"/>
    <x v="0"/>
    <x v="403"/>
    <x v="0"/>
    <x v="403"/>
    <s v="Concluído"/>
    <n v="9"/>
    <s v="100%"/>
    <x v="1"/>
    <n v="76"/>
    <n v="76"/>
  </r>
  <r>
    <x v="404"/>
    <s v="ANALISTA DE LOGISTICA I"/>
    <s v="PROFISSIONAIS_I"/>
    <s v="MAT_405"/>
    <x v="404"/>
    <x v="7"/>
    <x v="0"/>
    <x v="404"/>
    <x v="4"/>
    <x v="404"/>
    <s v="Concluído"/>
    <n v="9"/>
    <s v="100%"/>
    <x v="1"/>
    <n v="92"/>
    <n v="92"/>
  </r>
  <r>
    <x v="405"/>
    <s v="ASSISTENTE DE OP LOGISTICA I"/>
    <s v="ASSISTENTE"/>
    <s v="MAT_406"/>
    <x v="405"/>
    <x v="2"/>
    <x v="0"/>
    <x v="405"/>
    <x v="2"/>
    <x v="405"/>
    <s v="Concluído"/>
    <n v="9"/>
    <s v="64%"/>
    <x v="0"/>
    <n v="78"/>
    <n v="50"/>
  </r>
  <r>
    <x v="406"/>
    <s v="ANALISTA DE LOGISTICA I"/>
    <s v="PROFISSIONAIS_I"/>
    <s v="MAT_407"/>
    <x v="406"/>
    <x v="3"/>
    <x v="0"/>
    <x v="406"/>
    <x v="7"/>
    <x v="406"/>
    <s v="Concluído"/>
    <n v="18"/>
    <s v="100%"/>
    <x v="1"/>
    <n v="104"/>
    <n v="104"/>
  </r>
  <r>
    <x v="407"/>
    <s v="ANALISTA DE PLANEJ LOGIST I"/>
    <s v="PROFISSIONAIS_I"/>
    <s v="MAT_408"/>
    <x v="407"/>
    <x v="0"/>
    <x v="3"/>
    <x v="407"/>
    <x v="36"/>
    <x v="407"/>
    <s v="Concluído"/>
    <n v="9"/>
    <s v="100%"/>
    <x v="1"/>
    <n v="70"/>
    <n v="70"/>
  </r>
  <r>
    <x v="408"/>
    <s v="ASSISTENTE DE OP LOGISTICA I"/>
    <s v="ASSISTENTE"/>
    <s v="MAT_409"/>
    <x v="408"/>
    <x v="0"/>
    <x v="0"/>
    <x v="408"/>
    <x v="0"/>
    <x v="408"/>
    <s v="Concluído"/>
    <n v="7"/>
    <s v="52%"/>
    <x v="0"/>
    <n v="50"/>
    <n v="26"/>
  </r>
  <r>
    <x v="409"/>
    <s v="ANALISTA DE LOGISTICA II"/>
    <s v="PROFISSIONAIS_II"/>
    <s v="MAT_410"/>
    <x v="409"/>
    <x v="1"/>
    <x v="0"/>
    <x v="409"/>
    <x v="39"/>
    <x v="409"/>
    <s v="Concluído"/>
    <n v="9"/>
    <s v="86%"/>
    <x v="0"/>
    <n v="78"/>
    <n v="67"/>
  </r>
  <r>
    <x v="410"/>
    <s v="GERENTE DE DISTRIBUICAO"/>
    <s v="GERENTE"/>
    <s v="MAT_411"/>
    <x v="410"/>
    <x v="4"/>
    <x v="0"/>
    <x v="410"/>
    <x v="5"/>
    <x v="410"/>
    <s v="Concluído"/>
    <n v="7"/>
    <s v="100%"/>
    <x v="1"/>
    <n v="82"/>
    <n v="82"/>
  </r>
  <r>
    <x v="411"/>
    <s v="ANALISTA DE PLANEJ LOGIST I"/>
    <s v="PROFISSIONAIS_I"/>
    <s v="MAT_412"/>
    <x v="411"/>
    <x v="0"/>
    <x v="1"/>
    <x v="411"/>
    <x v="18"/>
    <x v="411"/>
    <s v="Concluído"/>
    <n v="8"/>
    <s v="100%"/>
    <x v="1"/>
    <n v="83"/>
    <n v="83"/>
  </r>
  <r>
    <x v="412"/>
    <s v="ANALISTA DE LOGISTICA II"/>
    <s v="PROFISSIONAIS_II"/>
    <s v="MAT_413"/>
    <x v="412"/>
    <x v="4"/>
    <x v="0"/>
    <x v="412"/>
    <x v="35"/>
    <x v="412"/>
    <s v="Concluído"/>
    <n v="9"/>
    <s v="33%"/>
    <x v="0"/>
    <n v="78"/>
    <n v="26"/>
  </r>
  <r>
    <x v="413"/>
    <s v="ANALISTA DE LOGISTICA I"/>
    <s v="PROFISSIONAIS_I"/>
    <s v="MAT_414"/>
    <x v="413"/>
    <x v="0"/>
    <x v="0"/>
    <x v="413"/>
    <x v="4"/>
    <x v="413"/>
    <s v="Concluído"/>
    <n v="7"/>
    <s v="100%"/>
    <x v="1"/>
    <n v="62"/>
    <n v="62"/>
  </r>
  <r>
    <x v="414"/>
    <s v="GERENTE DE CUSTOMER SERVICE"/>
    <s v="GERENTE"/>
    <s v="MAT_415"/>
    <x v="414"/>
    <x v="7"/>
    <x v="2"/>
    <x v="414"/>
    <x v="40"/>
    <x v="414"/>
    <s v="Concluído"/>
    <n v="5"/>
    <s v="63%"/>
    <x v="0"/>
    <n v="62"/>
    <n v="39"/>
  </r>
  <r>
    <x v="415"/>
    <s v="ANALISTA DE LOGISTICA I"/>
    <s v="PROFISSIONAIS_I"/>
    <s v="MAT_416"/>
    <x v="415"/>
    <x v="7"/>
    <x v="0"/>
    <x v="415"/>
    <x v="17"/>
    <x v="415"/>
    <s v="Concluído"/>
    <n v="7"/>
    <s v="100%"/>
    <x v="1"/>
    <n v="82"/>
    <n v="82"/>
  </r>
  <r>
    <x v="416"/>
    <s v="ANALISTA DE LOGISTICA I"/>
    <s v="PROFISSIONAIS_I"/>
    <s v="MAT_417"/>
    <x v="416"/>
    <x v="3"/>
    <x v="0"/>
    <x v="416"/>
    <x v="0"/>
    <x v="416"/>
    <s v="Concluído"/>
    <n v="9"/>
    <s v="76%"/>
    <x v="0"/>
    <n v="80"/>
    <n v="61"/>
  </r>
  <r>
    <x v="417"/>
    <s v="ANALISTA DE LOGISTICA II"/>
    <s v="PROFISSIONAIS_II"/>
    <s v="MAT_418"/>
    <x v="417"/>
    <x v="6"/>
    <x v="0"/>
    <x v="417"/>
    <x v="5"/>
    <x v="417"/>
    <s v="Concluído"/>
    <n v="9"/>
    <s v="100%"/>
    <x v="1"/>
    <n v="78"/>
    <n v="78"/>
  </r>
  <r>
    <x v="418"/>
    <s v="SUPERVISOR DE LOGISTICA"/>
    <s v="SUPERVISOR"/>
    <s v="MAT_419"/>
    <x v="418"/>
    <x v="2"/>
    <x v="0"/>
    <x v="418"/>
    <x v="2"/>
    <x v="418"/>
    <s v="Concluído"/>
    <n v="9"/>
    <s v="100%"/>
    <x v="1"/>
    <n v="84"/>
    <n v="84"/>
  </r>
  <r>
    <x v="419"/>
    <s v="SUPERVISOR DE LOGISTICA"/>
    <s v="SUPERVISOR"/>
    <s v="MAT_420"/>
    <x v="419"/>
    <x v="6"/>
    <x v="0"/>
    <x v="419"/>
    <x v="0"/>
    <x v="419"/>
    <s v="Concluído"/>
    <n v="7"/>
    <s v="100%"/>
    <x v="1"/>
    <n v="118"/>
    <n v="118"/>
  </r>
  <r>
    <x v="420"/>
    <s v="GERENTE REGIONAL DE LOGISTICA"/>
    <s v="GERENTE"/>
    <s v="MAT_421"/>
    <x v="420"/>
    <x v="0"/>
    <x v="0"/>
    <x v="420"/>
    <x v="41"/>
    <x v="420"/>
    <s v="Concluído"/>
    <n v="7"/>
    <s v="100%"/>
    <x v="1"/>
    <n v="98"/>
    <n v="98"/>
  </r>
  <r>
    <x v="421"/>
    <s v="ANALISTA DE LOGISTICA I"/>
    <s v="PROFISSIONAIS_I"/>
    <s v="MAT_422"/>
    <x v="421"/>
    <x v="2"/>
    <x v="0"/>
    <x v="421"/>
    <x v="26"/>
    <x v="421"/>
    <s v="Concluído"/>
    <n v="7"/>
    <s v="100%"/>
    <x v="1"/>
    <n v="62"/>
    <n v="62"/>
  </r>
  <r>
    <x v="422"/>
    <s v="ANALISTA DE LOGISTICA I"/>
    <s v="PROFISSIONAIS_I"/>
    <s v="MAT_423"/>
    <x v="422"/>
    <x v="8"/>
    <x v="0"/>
    <x v="422"/>
    <x v="15"/>
    <x v="422"/>
    <s v="Concluído"/>
    <n v="9"/>
    <s v="100%"/>
    <x v="1"/>
    <n v="120"/>
    <n v="120"/>
  </r>
  <r>
    <x v="423"/>
    <s v="ASSISTENTE DE OP LOGISTICA II"/>
    <s v="ASSISTENTE"/>
    <s v="MAT_424"/>
    <x v="423"/>
    <x v="0"/>
    <x v="0"/>
    <x v="423"/>
    <x v="2"/>
    <x v="423"/>
    <s v="Concluído"/>
    <n v="7"/>
    <s v="81%"/>
    <x v="0"/>
    <n v="62"/>
    <n v="50"/>
  </r>
  <r>
    <x v="424"/>
    <s v="ANALISTA DE CUSTOMER SERVICE I"/>
    <s v="PROFISSIONAIS_I"/>
    <s v="MAT_425"/>
    <x v="424"/>
    <x v="7"/>
    <x v="2"/>
    <x v="424"/>
    <x v="10"/>
    <x v="424"/>
    <s v="Concluído"/>
    <n v="7"/>
    <s v="100%"/>
    <x v="1"/>
    <n v="70"/>
    <n v="70"/>
  </r>
  <r>
    <x v="425"/>
    <s v="COORDENADOR DE LOGISTICA"/>
    <s v="COORDENADOR"/>
    <s v="MAT_426"/>
    <x v="425"/>
    <x v="9"/>
    <x v="0"/>
    <x v="425"/>
    <x v="2"/>
    <x v="425"/>
    <s v="Concluído"/>
    <n v="5"/>
    <s v="18%"/>
    <x v="0"/>
    <n v="62"/>
    <n v="11"/>
  </r>
  <r>
    <x v="426"/>
    <s v="SUPERVISOR DE LOGISTICA"/>
    <s v="SUPERVISOR"/>
    <s v="MAT_427"/>
    <x v="426"/>
    <x v="4"/>
    <x v="0"/>
    <x v="426"/>
    <x v="0"/>
    <x v="426"/>
    <s v="Concluído"/>
    <n v="5"/>
    <s v="7%"/>
    <x v="0"/>
    <n v="76"/>
    <n v="5"/>
  </r>
  <r>
    <x v="427"/>
    <s v="COORDENADOR DE ALMOXARIFADO"/>
    <s v="COORDENADOR"/>
    <s v="MAT_428"/>
    <x v="427"/>
    <x v="4"/>
    <x v="0"/>
    <x v="427"/>
    <x v="24"/>
    <x v="427"/>
    <s v="Concluído"/>
    <n v="7"/>
    <s v="48%"/>
    <x v="0"/>
    <n v="84"/>
    <n v="40"/>
  </r>
  <r>
    <x v="428"/>
    <s v="GERENTE DE PLANEJAMENTO DE DISTRIBU"/>
    <s v="GERENTE"/>
    <s v="MAT_429"/>
    <x v="428"/>
    <x v="7"/>
    <x v="1"/>
    <x v="428"/>
    <x v="3"/>
    <x v="428"/>
    <s v="Concluído"/>
    <n v="7"/>
    <s v="100%"/>
    <x v="1"/>
    <n v="78"/>
    <n v="78"/>
  </r>
  <r>
    <x v="429"/>
    <s v="SUPERVISOR DE LOGISTICA"/>
    <s v="SUPERVISOR"/>
    <s v="MAT_430"/>
    <x v="429"/>
    <x v="14"/>
    <x v="0"/>
    <x v="429"/>
    <x v="5"/>
    <x v="429"/>
    <s v="Concluído"/>
    <n v="4"/>
    <s v="69%"/>
    <x v="0"/>
    <n v="75"/>
    <n v="52"/>
  </r>
  <r>
    <x v="430"/>
    <s v="ASSISTENTE DE OP LOGISTICA I"/>
    <s v="ASSISTENTE"/>
    <s v="MAT_431"/>
    <x v="430"/>
    <x v="8"/>
    <x v="0"/>
    <x v="430"/>
    <x v="2"/>
    <x v="430"/>
    <s v="Concluído"/>
    <n v="9"/>
    <s v="100%"/>
    <x v="1"/>
    <n v="106"/>
    <n v="106"/>
  </r>
  <r>
    <x v="431"/>
    <s v="COORDENADOR DE LOGISTICA"/>
    <s v="COORDENADOR"/>
    <s v="MAT_432"/>
    <x v="431"/>
    <x v="4"/>
    <x v="0"/>
    <x v="431"/>
    <x v="4"/>
    <x v="431"/>
    <s v="Concluído"/>
    <n v="6"/>
    <s v="100%"/>
    <x v="1"/>
    <n v="94"/>
    <n v="94"/>
  </r>
  <r>
    <x v="432"/>
    <s v="ASSISTENTE ADMINISTRATIVO"/>
    <s v="ASSISTENTE"/>
    <s v="MAT_433"/>
    <x v="432"/>
    <x v="0"/>
    <x v="0"/>
    <x v="432"/>
    <x v="0"/>
    <x v="432"/>
    <s v="Concluído"/>
    <n v="7"/>
    <s v="76%"/>
    <x v="0"/>
    <n v="84"/>
    <n v="64"/>
  </r>
  <r>
    <x v="433"/>
    <s v="ASSISTENTE DE OP LOGISTICA II"/>
    <s v="ASSISTENTE"/>
    <s v="MAT_434"/>
    <x v="433"/>
    <x v="7"/>
    <x v="0"/>
    <x v="433"/>
    <x v="4"/>
    <x v="433"/>
    <s v="Concluído"/>
    <n v="7"/>
    <s v="100%"/>
    <x v="1"/>
    <n v="62"/>
    <n v="62"/>
  </r>
  <r>
    <x v="434"/>
    <s v="ASSISTENTE DE OP LOGISTICA II"/>
    <s v="ASSISTENTE"/>
    <s v="MAT_435"/>
    <x v="434"/>
    <x v="3"/>
    <x v="0"/>
    <x v="434"/>
    <x v="15"/>
    <x v="434"/>
    <s v="Concluído"/>
    <n v="9"/>
    <s v="69%"/>
    <x v="0"/>
    <n v="84"/>
    <n v="58"/>
  </r>
  <r>
    <x v="435"/>
    <s v="ASSISTENTE DE OP LOGISTICA II"/>
    <s v="ASSISTENTE"/>
    <s v="MAT_436"/>
    <x v="435"/>
    <x v="4"/>
    <x v="0"/>
    <x v="435"/>
    <x v="24"/>
    <x v="435"/>
    <s v="Concluído"/>
    <n v="7"/>
    <s v="8%"/>
    <x v="0"/>
    <n v="66"/>
    <n v="5"/>
  </r>
  <r>
    <x v="436"/>
    <s v="ASSISTENTE DE OP LOGISTICA II"/>
    <s v="ASSISTENTE"/>
    <s v="MAT_437"/>
    <x v="436"/>
    <x v="0"/>
    <x v="0"/>
    <x v="436"/>
    <x v="0"/>
    <x v="436"/>
    <s v="Concluído"/>
    <n v="9"/>
    <s v="100%"/>
    <x v="1"/>
    <n v="70"/>
    <n v="70"/>
  </r>
  <r>
    <x v="437"/>
    <s v="COORDENADOR DE LOGISTICA"/>
    <s v="COORDENADOR"/>
    <s v="MAT_438"/>
    <x v="437"/>
    <x v="0"/>
    <x v="3"/>
    <x v="437"/>
    <x v="19"/>
    <x v="437"/>
    <s v="Concluído"/>
    <n v="7"/>
    <s v="90%"/>
    <x v="0"/>
    <n v="82"/>
    <n v="74"/>
  </r>
  <r>
    <x v="438"/>
    <s v="ASSISTENTE DE OP LOGISTICA II"/>
    <s v="ASSISTENTE"/>
    <s v="MAT_439"/>
    <x v="438"/>
    <x v="0"/>
    <x v="1"/>
    <x v="438"/>
    <x v="3"/>
    <x v="438"/>
    <s v="Concluído"/>
    <n v="7"/>
    <s v="45%"/>
    <x v="0"/>
    <n v="64"/>
    <n v="29"/>
  </r>
  <r>
    <x v="439"/>
    <s v="ASSISTENTE DE OP LOGISTICA III"/>
    <s v="ASSISTENTE"/>
    <s v="MAT_440"/>
    <x v="439"/>
    <x v="7"/>
    <x v="0"/>
    <x v="439"/>
    <x v="2"/>
    <x v="439"/>
    <s v="Concluído"/>
    <n v="9"/>
    <s v="8%"/>
    <x v="0"/>
    <n v="120"/>
    <n v="9"/>
  </r>
  <r>
    <x v="440"/>
    <s v="ASSISTENTE DE OP LOGISTICA I"/>
    <s v="ASSISTENTE"/>
    <s v="MAT_441"/>
    <x v="440"/>
    <x v="12"/>
    <x v="0"/>
    <x v="440"/>
    <x v="0"/>
    <x v="440"/>
    <s v="Concluído"/>
    <n v="9"/>
    <s v="100%"/>
    <x v="1"/>
    <n v="70"/>
    <n v="70"/>
  </r>
  <r>
    <x v="441"/>
    <s v="ASSISTENTE DE OP LOGISTICA III"/>
    <s v="ASSISTENTE"/>
    <s v="MAT_442"/>
    <x v="441"/>
    <x v="4"/>
    <x v="0"/>
    <x v="441"/>
    <x v="2"/>
    <x v="441"/>
    <s v="Concluído"/>
    <n v="7"/>
    <s v="100%"/>
    <x v="1"/>
    <n v="50"/>
    <n v="50"/>
  </r>
  <r>
    <x v="442"/>
    <s v="ANALISTA DE PLANEJ LOGIST I"/>
    <s v="PROFISSIONAIS_I"/>
    <s v="MAT_443"/>
    <x v="442"/>
    <x v="0"/>
    <x v="1"/>
    <x v="442"/>
    <x v="27"/>
    <x v="442"/>
    <s v="Concluído"/>
    <n v="7"/>
    <s v="100%"/>
    <x v="1"/>
    <n v="64"/>
    <n v="64"/>
  </r>
  <r>
    <x v="443"/>
    <s v="ASSISTENTE DE OP LOGISTICA II"/>
    <s v="ASSISTENTE"/>
    <s v="MAT_444"/>
    <x v="443"/>
    <x v="10"/>
    <x v="0"/>
    <x v="443"/>
    <x v="0"/>
    <x v="443"/>
    <s v="Concluído"/>
    <n v="9"/>
    <s v="100%"/>
    <x v="1"/>
    <n v="107"/>
    <n v="107"/>
  </r>
  <r>
    <x v="444"/>
    <s v="COORDENADOR DE LOGISTICA"/>
    <s v="COORDENADOR"/>
    <s v="MAT_445"/>
    <x v="444"/>
    <x v="0"/>
    <x v="0"/>
    <x v="444"/>
    <x v="15"/>
    <x v="444"/>
    <s v="Concluído"/>
    <n v="7"/>
    <s v="100%"/>
    <x v="1"/>
    <n v="66"/>
    <n v="66"/>
  </r>
  <r>
    <x v="445"/>
    <s v="COORDENADOR DE CUSTOMER SERVICE"/>
    <s v="COORDENADOR"/>
    <s v="MAT_446"/>
    <x v="445"/>
    <x v="0"/>
    <x v="2"/>
    <x v="445"/>
    <x v="10"/>
    <x v="445"/>
    <s v="Concluído"/>
    <n v="7"/>
    <s v="100%"/>
    <x v="1"/>
    <n v="74"/>
    <n v="74"/>
  </r>
  <r>
    <x v="446"/>
    <s v="ANALISTA DE LOGISTICA I"/>
    <s v="PROFISSIONAIS_I"/>
    <s v="MAT_447"/>
    <x v="446"/>
    <x v="14"/>
    <x v="0"/>
    <x v="446"/>
    <x v="31"/>
    <x v="446"/>
    <s v="Concluído"/>
    <n v="7"/>
    <s v="100%"/>
    <x v="1"/>
    <n v="78"/>
    <n v="78"/>
  </r>
  <r>
    <x v="447"/>
    <s v="ANALISTA DE LOGISTICA I"/>
    <s v="PROFISSIONAIS_I"/>
    <s v="MAT_448"/>
    <x v="447"/>
    <x v="7"/>
    <x v="0"/>
    <x v="447"/>
    <x v="4"/>
    <x v="447"/>
    <s v="Concluído"/>
    <n v="9"/>
    <s v="100%"/>
    <x v="1"/>
    <n v="70"/>
    <n v="70"/>
  </r>
  <r>
    <x v="448"/>
    <s v="ANALISTA DE LOGISTICA I"/>
    <s v="PROFISSIONAIS_I"/>
    <s v="MAT_449"/>
    <x v="448"/>
    <x v="3"/>
    <x v="0"/>
    <x v="448"/>
    <x v="15"/>
    <x v="448"/>
    <s v="Concluído"/>
    <n v="9"/>
    <s v="100%"/>
    <x v="1"/>
    <n v="78"/>
    <n v="78"/>
  </r>
  <r>
    <x v="449"/>
    <s v="ASSISTENTE DE OP LOGISTICA II"/>
    <s v="ASSISTENTE"/>
    <s v="MAT_450"/>
    <x v="449"/>
    <x v="6"/>
    <x v="0"/>
    <x v="449"/>
    <x v="6"/>
    <x v="449"/>
    <s v="Concluído"/>
    <n v="9"/>
    <s v="100%"/>
    <x v="1"/>
    <n v="114"/>
    <n v="114"/>
  </r>
  <r>
    <x v="450"/>
    <s v="ANALISTA DE PLANEJ LOGIST II"/>
    <s v="PROFISSIONAIS_II"/>
    <s v="MAT_451"/>
    <x v="450"/>
    <x v="0"/>
    <x v="1"/>
    <x v="450"/>
    <x v="18"/>
    <x v="450"/>
    <s v="Concluído"/>
    <n v="7"/>
    <s v="100%"/>
    <x v="1"/>
    <n v="84"/>
    <n v="84"/>
  </r>
  <r>
    <x v="451"/>
    <s v="ANALISTA DE COSTUMER SERVICE II"/>
    <s v="PROFISSIONAIS_I"/>
    <s v="MAT_452"/>
    <x v="451"/>
    <x v="1"/>
    <x v="2"/>
    <x v="451"/>
    <x v="33"/>
    <x v="451"/>
    <s v="Concluído"/>
    <n v="9"/>
    <s v="18%"/>
    <x v="0"/>
    <n v="83"/>
    <n v="15"/>
  </r>
  <r>
    <x v="452"/>
    <s v="ASSISTENTE DE OP LOGISTICA II"/>
    <s v="ASSISTENTE"/>
    <s v="MAT_453"/>
    <x v="452"/>
    <x v="7"/>
    <x v="0"/>
    <x v="452"/>
    <x v="2"/>
    <x v="452"/>
    <s v="Concluído"/>
    <n v="9"/>
    <s v="100%"/>
    <x v="1"/>
    <n v="70"/>
    <n v="70"/>
  </r>
  <r>
    <x v="453"/>
    <s v="ANALISTA DE PLANEJ LOGIST II"/>
    <s v="PROFISSIONAIS_II"/>
    <s v="MAT_454"/>
    <x v="453"/>
    <x v="3"/>
    <x v="1"/>
    <x v="453"/>
    <x v="3"/>
    <x v="453"/>
    <s v="Concluído"/>
    <n v="7"/>
    <s v="100%"/>
    <x v="1"/>
    <n v="74"/>
    <n v="74"/>
  </r>
  <r>
    <x v="454"/>
    <s v="ASSISTENTE DE OP LOGISTICA II"/>
    <s v="ASSISTENTE"/>
    <s v="MAT_455"/>
    <x v="454"/>
    <x v="0"/>
    <x v="0"/>
    <x v="454"/>
    <x v="2"/>
    <x v="454"/>
    <s v="Concluído"/>
    <n v="7"/>
    <s v="100%"/>
    <x v="1"/>
    <n v="62"/>
    <n v="62"/>
  </r>
  <r>
    <x v="455"/>
    <s v="ANALISTA DE CUSTOMER SERVICE I"/>
    <s v="PROFISSIONAIS_I"/>
    <s v="MAT_456"/>
    <x v="455"/>
    <x v="7"/>
    <x v="2"/>
    <x v="455"/>
    <x v="10"/>
    <x v="455"/>
    <s v="Concluído"/>
    <n v="7"/>
    <s v="100%"/>
    <x v="1"/>
    <n v="52"/>
    <n v="52"/>
  </r>
  <r>
    <x v="456"/>
    <s v="ASSISTENTE DE OP LOGISTICA I"/>
    <s v="ASSISTENTE"/>
    <s v="MAT_457"/>
    <x v="456"/>
    <x v="2"/>
    <x v="0"/>
    <x v="456"/>
    <x v="2"/>
    <x v="456"/>
    <s v="Concluído"/>
    <n v="9"/>
    <s v="80%"/>
    <x v="0"/>
    <n v="86"/>
    <n v="69"/>
  </r>
  <r>
    <x v="457"/>
    <s v="ANALISTA DE CUSTOMER SERVICE I"/>
    <s v="PROFISSIONAIS_I"/>
    <s v="MAT_458"/>
    <x v="457"/>
    <x v="4"/>
    <x v="2"/>
    <x v="457"/>
    <x v="20"/>
    <x v="457"/>
    <s v="Concluído"/>
    <n v="9"/>
    <s v="100%"/>
    <x v="1"/>
    <n v="80"/>
    <n v="80"/>
  </r>
  <r>
    <x v="458"/>
    <s v="ASSISTENTE ADMINISTRATIVO"/>
    <s v="ASSISTENTE"/>
    <s v="MAT_459"/>
    <x v="458"/>
    <x v="3"/>
    <x v="0"/>
    <x v="458"/>
    <x v="0"/>
    <x v="458"/>
    <s v="Concluído"/>
    <n v="9"/>
    <s v="76%"/>
    <x v="0"/>
    <n v="84"/>
    <n v="64"/>
  </r>
  <r>
    <x v="459"/>
    <s v="ASSISTENTE DE CUSTOMER SERVICE"/>
    <s v="ASSISTENTE_ESPECIFICO"/>
    <s v="MAT_460"/>
    <x v="459"/>
    <x v="0"/>
    <x v="0"/>
    <x v="459"/>
    <x v="13"/>
    <x v="459"/>
    <s v="Concluído"/>
    <n v="7"/>
    <s v="100%"/>
    <x v="1"/>
    <n v="66"/>
    <n v="66"/>
  </r>
  <r>
    <x v="460"/>
    <s v="ANALISTA DE LOGISTICA I"/>
    <s v="PROFISSIONAIS_I"/>
    <s v="MAT_461"/>
    <x v="460"/>
    <x v="3"/>
    <x v="0"/>
    <x v="460"/>
    <x v="15"/>
    <x v="460"/>
    <s v="Concluído"/>
    <n v="7"/>
    <s v="100%"/>
    <x v="1"/>
    <n v="66"/>
    <n v="66"/>
  </r>
  <r>
    <x v="461"/>
    <s v="ASSISTENTE DE OP LOGISTICA I"/>
    <s v="ASSISTENTE"/>
    <s v="MAT_462"/>
    <x v="461"/>
    <x v="12"/>
    <x v="0"/>
    <x v="461"/>
    <x v="0"/>
    <x v="461"/>
    <s v="Concluído"/>
    <n v="7"/>
    <s v="100%"/>
    <x v="1"/>
    <n v="64"/>
    <n v="64"/>
  </r>
  <r>
    <x v="462"/>
    <s v="ASSISTENTE DE OP LOGISTICA II"/>
    <s v="ASSISTENTE"/>
    <s v="MAT_463"/>
    <x v="462"/>
    <x v="7"/>
    <x v="0"/>
    <x v="462"/>
    <x v="4"/>
    <x v="462"/>
    <s v="Concluído"/>
    <n v="7"/>
    <s v="100%"/>
    <x v="1"/>
    <n v="52"/>
    <n v="52"/>
  </r>
  <r>
    <x v="463"/>
    <s v="ASSISTENTE DE OP LOGISTICA III"/>
    <s v="ASSISTENTE"/>
    <s v="MAT_464"/>
    <x v="463"/>
    <x v="5"/>
    <x v="0"/>
    <x v="463"/>
    <x v="0"/>
    <x v="463"/>
    <s v="Concluído"/>
    <n v="9"/>
    <s v="100%"/>
    <x v="1"/>
    <n v="72"/>
    <n v="72"/>
  </r>
  <r>
    <x v="464"/>
    <s v="ASSISTENTE DE OP LOGISTICA I"/>
    <s v="ASSISTENTE"/>
    <s v="MAT_465"/>
    <x v="464"/>
    <x v="0"/>
    <x v="0"/>
    <x v="464"/>
    <x v="9"/>
    <x v="464"/>
    <s v="Concluído"/>
    <n v="7"/>
    <s v="100%"/>
    <x v="1"/>
    <n v="50"/>
    <n v="50"/>
  </r>
  <r>
    <x v="465"/>
    <s v="ASSISTENTE ADMINISTRATIVO"/>
    <s v="ASSISTENTE"/>
    <s v="MAT_466"/>
    <x v="465"/>
    <x v="3"/>
    <x v="0"/>
    <x v="465"/>
    <x v="2"/>
    <x v="465"/>
    <s v="Concluído"/>
    <n v="9"/>
    <s v="100%"/>
    <x v="1"/>
    <n v="106"/>
    <n v="106"/>
  </r>
  <r>
    <x v="466"/>
    <s v="ASSISTENTE ADMINISTRATIVO"/>
    <s v="ASSISTENTE"/>
    <s v="MAT_467"/>
    <x v="466"/>
    <x v="3"/>
    <x v="0"/>
    <x v="466"/>
    <x v="24"/>
    <x v="466"/>
    <s v="Concluído"/>
    <n v="7"/>
    <s v="48%"/>
    <x v="0"/>
    <n v="98"/>
    <n v="47"/>
  </r>
  <r>
    <x v="467"/>
    <s v="ANALISTA CUSTOMER SERVICE JR"/>
    <s v="PROFISSIONAIS_I"/>
    <s v="MAT_468"/>
    <x v="467"/>
    <x v="1"/>
    <x v="2"/>
    <x v="467"/>
    <x v="33"/>
    <x v="467"/>
    <s v="Concluído"/>
    <n v="7"/>
    <s v="100%"/>
    <x v="1"/>
    <n v="74"/>
    <n v="74"/>
  </r>
  <r>
    <x v="468"/>
    <s v="ANALISTA DE CUSTOMER SERVICE I"/>
    <s v="PROFISSIONAIS_I"/>
    <s v="MAT_469"/>
    <x v="468"/>
    <x v="7"/>
    <x v="2"/>
    <x v="468"/>
    <x v="20"/>
    <x v="468"/>
    <s v="Concluído"/>
    <n v="7"/>
    <s v="31%"/>
    <x v="0"/>
    <n v="64"/>
    <n v="20"/>
  </r>
  <r>
    <x v="469"/>
    <s v="ANALISTA DE LOGISTICA I"/>
    <s v="PROFISSIONAIS_I"/>
    <s v="MAT_470"/>
    <x v="469"/>
    <x v="3"/>
    <x v="0"/>
    <x v="469"/>
    <x v="24"/>
    <x v="469"/>
    <s v="Concluído"/>
    <n v="9"/>
    <s v="100%"/>
    <x v="1"/>
    <n v="92"/>
    <n v="92"/>
  </r>
  <r>
    <x v="470"/>
    <s v="ANALISTA DE LOGISTICA I"/>
    <s v="PROFISSIONAIS_I"/>
    <s v="MAT_471"/>
    <x v="470"/>
    <x v="3"/>
    <x v="0"/>
    <x v="470"/>
    <x v="2"/>
    <x v="470"/>
    <s v="Concluído"/>
    <n v="9"/>
    <s v="93%"/>
    <x v="0"/>
    <n v="94"/>
    <n v="87"/>
  </r>
  <r>
    <x v="471"/>
    <s v="ASSISTENTE DE OP LOGISTICA I"/>
    <s v="ASSISTENTE"/>
    <s v="MAT_472"/>
    <x v="471"/>
    <x v="7"/>
    <x v="0"/>
    <x v="471"/>
    <x v="2"/>
    <x v="471"/>
    <s v="Concluído"/>
    <n v="9"/>
    <s v="100%"/>
    <x v="1"/>
    <n v="106"/>
    <n v="106"/>
  </r>
  <r>
    <x v="472"/>
    <s v="SUPERVISOR DE LOGISTICA"/>
    <s v="SUPERVISOR"/>
    <s v="MAT_473"/>
    <x v="472"/>
    <x v="2"/>
    <x v="0"/>
    <x v="472"/>
    <x v="2"/>
    <x v="472"/>
    <s v="Concluído"/>
    <n v="7"/>
    <s v="100%"/>
    <x v="1"/>
    <n v="52"/>
    <n v="52"/>
  </r>
  <r>
    <x v="473"/>
    <s v="SUPERVISOR DE LOGISTICA"/>
    <s v="SUPERVISOR"/>
    <s v="MAT_474"/>
    <x v="473"/>
    <x v="2"/>
    <x v="0"/>
    <x v="473"/>
    <x v="2"/>
    <x v="473"/>
    <s v="Concluído"/>
    <n v="7"/>
    <s v="44%"/>
    <x v="0"/>
    <n v="52"/>
    <n v="23"/>
  </r>
  <r>
    <x v="474"/>
    <s v="SUPERVISOR DE LOGISTICA"/>
    <s v="SUPERVISOR"/>
    <s v="MAT_475"/>
    <x v="474"/>
    <x v="5"/>
    <x v="0"/>
    <x v="474"/>
    <x v="0"/>
    <x v="474"/>
    <s v="Concluído"/>
    <n v="7"/>
    <s v="79%"/>
    <x v="0"/>
    <n v="52"/>
    <n v="41"/>
  </r>
  <r>
    <x v="475"/>
    <s v="ANALISTA CUSTOMER SERVICE JR"/>
    <s v="PROFISSIONAIS_"/>
    <s v="MAT_476"/>
    <x v="475"/>
    <x v="1"/>
    <x v="2"/>
    <x v="475"/>
    <x v="33"/>
    <x v="475"/>
    <s v="Concluído"/>
    <n v="9"/>
    <s v="80%"/>
    <x v="0"/>
    <n v="80"/>
    <n v="64"/>
  </r>
  <r>
    <x v="476"/>
    <s v="ANALISTA DE PLANEJ LOGIST III"/>
    <s v="PROFISSIONAIS_III"/>
    <s v="MAT_477"/>
    <x v="476"/>
    <x v="0"/>
    <x v="1"/>
    <x v="476"/>
    <x v="22"/>
    <x v="476"/>
    <s v="Concluído"/>
    <n v="12"/>
    <s v="100%"/>
    <x v="1"/>
    <n v="124"/>
    <n v="124"/>
  </r>
  <r>
    <x v="477"/>
    <s v="ASSISTENTE DE OP LOGISTICA I"/>
    <s v="ASSISTENTE"/>
    <s v="MAT_478"/>
    <x v="477"/>
    <x v="7"/>
    <x v="0"/>
    <x v="477"/>
    <x v="2"/>
    <x v="477"/>
    <s v="Concluído"/>
    <n v="7"/>
    <s v="100%"/>
    <x v="1"/>
    <n v="50"/>
    <n v="50"/>
  </r>
  <r>
    <x v="478"/>
    <s v="ASSISTENTE DE OP LOGISTICA III"/>
    <s v="ASSISTENTE"/>
    <s v="MAT_479"/>
    <x v="478"/>
    <x v="7"/>
    <x v="1"/>
    <x v="478"/>
    <x v="3"/>
    <x v="478"/>
    <s v="Concluído"/>
    <n v="9"/>
    <s v="100%"/>
    <x v="1"/>
    <n v="80"/>
    <n v="80"/>
  </r>
  <r>
    <x v="479"/>
    <s v="ASSISTENTE DE CUSTOMER SERVICE"/>
    <s v="ASSISTENTE_ESPECIFICO"/>
    <s v="MAT_480"/>
    <x v="479"/>
    <x v="0"/>
    <x v="2"/>
    <x v="479"/>
    <x v="10"/>
    <x v="479"/>
    <s v="Concluído"/>
    <n v="7"/>
    <s v="55%"/>
    <x v="0"/>
    <n v="58"/>
    <n v="32"/>
  </r>
  <r>
    <x v="480"/>
    <s v="COORDENADOR DE LOGISTICA"/>
    <s v="COORDENADOR"/>
    <s v="MAT_481"/>
    <x v="480"/>
    <x v="0"/>
    <x v="0"/>
    <x v="480"/>
    <x v="11"/>
    <x v="480"/>
    <s v="Concluído"/>
    <n v="7"/>
    <s v="7%"/>
    <x v="0"/>
    <n v="57"/>
    <n v="4"/>
  </r>
  <r>
    <x v="481"/>
    <s v="ANALISTA DE PLANEJ LOGIST II"/>
    <s v="PROFISSIONAIS_II"/>
    <s v="MAT_482"/>
    <x v="481"/>
    <x v="0"/>
    <x v="0"/>
    <x v="481"/>
    <x v="11"/>
    <x v="481"/>
    <s v="Concluído"/>
    <n v="9"/>
    <s v="91%"/>
    <x v="0"/>
    <n v="104"/>
    <n v="95"/>
  </r>
  <r>
    <x v="482"/>
    <s v="ASSISTENTE DE OP LOGISTICA III"/>
    <s v="ASSISTENTE"/>
    <s v="MAT_483"/>
    <x v="482"/>
    <x v="0"/>
    <x v="1"/>
    <x v="482"/>
    <x v="3"/>
    <x v="482"/>
    <s v="Concluído"/>
    <n v="9"/>
    <s v="16%"/>
    <x v="0"/>
    <n v="80"/>
    <n v="13"/>
  </r>
  <r>
    <x v="483"/>
    <s v="ANALISTA DE CUSTOMER SERVICE I"/>
    <s v="PROFISSIONAIS_I"/>
    <s v="MAT_484"/>
    <x v="483"/>
    <x v="7"/>
    <x v="2"/>
    <x v="483"/>
    <x v="10"/>
    <x v="483"/>
    <s v="Concluído"/>
    <n v="3"/>
    <s v="100%"/>
    <x v="1"/>
    <n v="62"/>
    <n v="62"/>
  </r>
  <r>
    <x v="484"/>
    <s v="SUPERVISOR DE LOGISTICA"/>
    <s v="SUPERVISOR"/>
    <s v="MAT_485"/>
    <x v="484"/>
    <x v="8"/>
    <x v="0"/>
    <x v="484"/>
    <x v="2"/>
    <x v="484"/>
    <s v="Concluído"/>
    <n v="7"/>
    <s v="100%"/>
    <x v="1"/>
    <n v="118"/>
    <n v="118"/>
  </r>
  <r>
    <x v="485"/>
    <s v="ASSISTENTE DE OP LOGISTICA I"/>
    <s v="ASSISTENTE"/>
    <s v="MAT_486"/>
    <x v="485"/>
    <x v="0"/>
    <x v="0"/>
    <x v="485"/>
    <x v="0"/>
    <x v="485"/>
    <s v="Concluído"/>
    <n v="9"/>
    <s v="8%"/>
    <x v="0"/>
    <n v="72"/>
    <n v="6"/>
  </r>
  <r>
    <x v="486"/>
    <s v="GERENTE DE DISTRIBUICAO"/>
    <s v="GERENTE"/>
    <s v="MAT_487"/>
    <x v="486"/>
    <x v="6"/>
    <x v="0"/>
    <x v="486"/>
    <x v="5"/>
    <x v="486"/>
    <s v="Concluído"/>
    <n v="7"/>
    <s v="100%"/>
    <x v="1"/>
    <n v="92"/>
    <n v="92"/>
  </r>
  <r>
    <x v="487"/>
    <s v="ANALISTA DE CUSTOMER SERVICE I"/>
    <s v="PROFISSIONAIS_I"/>
    <s v="MAT_488"/>
    <x v="487"/>
    <x v="0"/>
    <x v="2"/>
    <x v="487"/>
    <x v="10"/>
    <x v="487"/>
    <s v="Concluído"/>
    <n v="7"/>
    <s v="100%"/>
    <x v="1"/>
    <n v="52"/>
    <n v="52"/>
  </r>
  <r>
    <x v="488"/>
    <s v="COORDENADOR DE LOGISTICA"/>
    <s v="COORDENADOR"/>
    <s v="MAT_489"/>
    <x v="488"/>
    <x v="7"/>
    <x v="0"/>
    <x v="488"/>
    <x v="5"/>
    <x v="488"/>
    <s v="Concluído"/>
    <n v="6"/>
    <s v="100%"/>
    <x v="1"/>
    <n v="79"/>
    <n v="79"/>
  </r>
  <r>
    <x v="489"/>
    <s v="SUPERVISOR DE ALMOXARIFADO"/>
    <s v="SUPERVISOR"/>
    <s v="MAT_490"/>
    <x v="489"/>
    <x v="3"/>
    <x v="0"/>
    <x v="489"/>
    <x v="2"/>
    <x v="489"/>
    <s v="Concluído"/>
    <n v="28"/>
    <s v="100%"/>
    <x v="1"/>
    <n v="99"/>
    <n v="99"/>
  </r>
  <r>
    <x v="490"/>
    <s v="ASSISTENTE DE OP LOGISTICA I"/>
    <s v="ASSISTENTE"/>
    <s v="MAT_491"/>
    <x v="490"/>
    <x v="13"/>
    <x v="0"/>
    <x v="490"/>
    <x v="0"/>
    <x v="490"/>
    <s v="Concluído"/>
    <n v="9"/>
    <s v="30%"/>
    <x v="0"/>
    <n v="70"/>
    <n v="21"/>
  </r>
  <r>
    <x v="491"/>
    <s v="GERENTE DE PLANEJ LOGISTICO"/>
    <s v="GERENTE"/>
    <s v="MAT_492"/>
    <x v="491"/>
    <x v="7"/>
    <x v="1"/>
    <x v="491"/>
    <x v="3"/>
    <x v="491"/>
    <s v="Concluído"/>
    <n v="7"/>
    <s v="100%"/>
    <x v="1"/>
    <n v="70"/>
    <n v="70"/>
  </r>
  <r>
    <x v="492"/>
    <s v="ASSISTENTE DE OP LOGISTICA III"/>
    <s v="ASSISTENTE"/>
    <s v="MAT_493"/>
    <x v="492"/>
    <x v="7"/>
    <x v="0"/>
    <x v="492"/>
    <x v="17"/>
    <x v="492"/>
    <s v="Concluído"/>
    <n v="9"/>
    <s v="100%"/>
    <x v="1"/>
    <n v="70"/>
    <n v="70"/>
  </r>
  <r>
    <x v="493"/>
    <s v="ESTAGIARIO"/>
    <s v="ESTAGIARIO"/>
    <s v="MAT_494"/>
    <x v="493"/>
    <x v="4"/>
    <x v="0"/>
    <x v="493"/>
    <x v="4"/>
    <x v="493"/>
    <s v="Concluído"/>
    <n v="7"/>
    <s v="100%"/>
    <x v="1"/>
    <n v="64"/>
    <n v="64"/>
  </r>
  <r>
    <x v="494"/>
    <s v="ANALISTA DE LOGISTICA II"/>
    <s v="PROFISSIONAIS_II"/>
    <s v="MAT_495"/>
    <x v="494"/>
    <x v="0"/>
    <x v="0"/>
    <x v="494"/>
    <x v="8"/>
    <x v="494"/>
    <s v="Concluído"/>
    <n v="9"/>
    <s v="100%"/>
    <x v="1"/>
    <n v="78"/>
    <n v="78"/>
  </r>
  <r>
    <x v="495"/>
    <s v="ASSISTENTE DE OP LOGISTICA II"/>
    <s v="ASSISTENTE"/>
    <s v="MAT_496"/>
    <x v="495"/>
    <x v="0"/>
    <x v="0"/>
    <x v="495"/>
    <x v="5"/>
    <x v="495"/>
    <s v="Concluído"/>
    <n v="9"/>
    <s v="7%"/>
    <x v="0"/>
    <n v="69"/>
    <n v="5"/>
  </r>
  <r>
    <x v="496"/>
    <s v="COORDENADOR DE LOGISTICA"/>
    <s v="COORDENADOR"/>
    <s v="MAT_497"/>
    <x v="496"/>
    <x v="0"/>
    <x v="0"/>
    <x v="496"/>
    <x v="0"/>
    <x v="496"/>
    <s v="Concluído"/>
    <n v="7"/>
    <s v="100%"/>
    <x v="1"/>
    <n v="65"/>
    <n v="65"/>
  </r>
  <r>
    <x v="497"/>
    <s v="ASSISTENTE DE OP LOGISTICA III"/>
    <s v="ASSISTENTE"/>
    <s v="MAT_498"/>
    <x v="497"/>
    <x v="7"/>
    <x v="1"/>
    <x v="497"/>
    <x v="3"/>
    <x v="497"/>
    <s v="Concluído"/>
    <n v="9"/>
    <s v="13%"/>
    <x v="0"/>
    <n v="80"/>
    <n v="10"/>
  </r>
  <r>
    <x v="498"/>
    <s v="ANALISTA DE LOGISTICA I"/>
    <s v="PROFISSIONAIS_I"/>
    <s v="MAT_499"/>
    <x v="498"/>
    <x v="7"/>
    <x v="0"/>
    <x v="498"/>
    <x v="2"/>
    <x v="498"/>
    <s v="Concluído"/>
    <n v="9"/>
    <s v="100%"/>
    <x v="1"/>
    <n v="100"/>
    <n v="100"/>
  </r>
  <r>
    <x v="499"/>
    <s v="ASSISTENTE DE OP LOGISTICA III"/>
    <s v="ASSISTENTE"/>
    <s v="MAT_500"/>
    <x v="499"/>
    <x v="10"/>
    <x v="0"/>
    <x v="499"/>
    <x v="6"/>
    <x v="499"/>
    <s v="Concluído"/>
    <n v="9"/>
    <s v="100%"/>
    <x v="1"/>
    <n v="84"/>
    <n v="84"/>
  </r>
  <r>
    <x v="500"/>
    <s v="SUPERVISOR DE LOGISTICA"/>
    <s v="SUPERVISOR"/>
    <s v="MAT_501"/>
    <x v="500"/>
    <x v="3"/>
    <x v="0"/>
    <x v="500"/>
    <x v="7"/>
    <x v="500"/>
    <s v="Concluído"/>
    <n v="7"/>
    <s v="100%"/>
    <x v="1"/>
    <n v="82"/>
    <n v="82"/>
  </r>
  <r>
    <x v="501"/>
    <s v="ANALISTA DE PLANEJ LOGIST II"/>
    <s v="PROFISSIONAIS_II"/>
    <s v="MAT_502"/>
    <x v="501"/>
    <x v="7"/>
    <x v="1"/>
    <x v="501"/>
    <x v="3"/>
    <x v="501"/>
    <s v="Concluído"/>
    <n v="5"/>
    <s v="100%"/>
    <x v="1"/>
    <n v="62"/>
    <n v="62"/>
  </r>
  <r>
    <x v="502"/>
    <s v="ANALISTA DE PLANEJ LOGIST II"/>
    <s v="PROFISSIONAIS_II"/>
    <s v="MAT_503"/>
    <x v="502"/>
    <x v="0"/>
    <x v="0"/>
    <x v="502"/>
    <x v="15"/>
    <x v="502"/>
    <s v="Concluído"/>
    <n v="7"/>
    <s v="100%"/>
    <x v="1"/>
    <n v="92"/>
    <n v="92"/>
  </r>
  <r>
    <x v="503"/>
    <s v="ASSISTENTE DE OP LOGISTICA II"/>
    <s v="ASSISTENTE"/>
    <s v="MAT_504"/>
    <x v="503"/>
    <x v="6"/>
    <x v="0"/>
    <x v="503"/>
    <x v="6"/>
    <x v="503"/>
    <s v="Concluído"/>
    <n v="9"/>
    <s v="100%"/>
    <x v="1"/>
    <n v="78"/>
    <n v="78"/>
  </r>
  <r>
    <x v="504"/>
    <s v="ANALISTA DE PLANEJ LOGIST II"/>
    <s v="PROFISSIONAIS_II"/>
    <s v="MAT_505"/>
    <x v="504"/>
    <x v="2"/>
    <x v="1"/>
    <x v="504"/>
    <x v="3"/>
    <x v="504"/>
    <s v="Concluído"/>
    <n v="5"/>
    <s v="100%"/>
    <x v="1"/>
    <n v="62"/>
    <n v="62"/>
  </r>
  <r>
    <x v="505"/>
    <s v="ANALISTA DE CUSTOMER SERVICE II"/>
    <s v="PROFISSIONAIS_II"/>
    <s v="MAT_506"/>
    <x v="505"/>
    <x v="7"/>
    <x v="2"/>
    <x v="505"/>
    <x v="10"/>
    <x v="505"/>
    <s v="Concluído"/>
    <n v="7"/>
    <s v="36%"/>
    <x v="0"/>
    <n v="64"/>
    <n v="23"/>
  </r>
  <r>
    <x v="506"/>
    <s v="ANALISTA DE PLANEJ LOGIST I"/>
    <s v="PROFISSIONAIS_I"/>
    <s v="MAT_507"/>
    <x v="506"/>
    <x v="4"/>
    <x v="1"/>
    <x v="506"/>
    <x v="3"/>
    <x v="506"/>
    <s v="Concluído"/>
    <n v="5"/>
    <s v="100%"/>
    <x v="1"/>
    <n v="72"/>
    <n v="72"/>
  </r>
  <r>
    <x v="507"/>
    <s v="ANALISTA DE PLANEJ LOGIST II"/>
    <s v="PROFISSIONAIS_II"/>
    <s v="MAT_508"/>
    <x v="507"/>
    <x v="4"/>
    <x v="1"/>
    <x v="507"/>
    <x v="3"/>
    <x v="507"/>
    <s v="Concluído"/>
    <n v="7"/>
    <s v="100%"/>
    <x v="1"/>
    <n v="64"/>
    <n v="64"/>
  </r>
  <r>
    <x v="508"/>
    <s v="ANALISTA DE PLANEJ LOGIST III"/>
    <s v="PROFISSIONAIS_III"/>
    <s v="MAT_509"/>
    <x v="508"/>
    <x v="0"/>
    <x v="1"/>
    <x v="508"/>
    <x v="3"/>
    <x v="508"/>
    <s v="Concluído"/>
    <n v="9"/>
    <s v="100%"/>
    <x v="1"/>
    <n v="80"/>
    <n v="80"/>
  </r>
  <r>
    <x v="509"/>
    <s v="ASSISTENTE DE OP LOGISTICA II"/>
    <s v="ASSISTENTE"/>
    <s v="MAT_510"/>
    <x v="509"/>
    <x v="6"/>
    <x v="0"/>
    <x v="509"/>
    <x v="2"/>
    <x v="509"/>
    <s v="Concluído"/>
    <n v="7"/>
    <s v="100%"/>
    <x v="1"/>
    <n v="62"/>
    <n v="62"/>
  </r>
  <r>
    <x v="510"/>
    <s v="ASSISTENTE DE OP LOGISTICA III"/>
    <s v="ASSISTENTE"/>
    <s v="MAT_511"/>
    <x v="510"/>
    <x v="7"/>
    <x v="0"/>
    <x v="510"/>
    <x v="42"/>
    <x v="510"/>
    <s v="Concluído"/>
    <n v="0"/>
    <s v="100%"/>
    <x v="1"/>
    <n v="84"/>
    <n v="84"/>
  </r>
  <r>
    <x v="511"/>
    <s v="ASSISTENTE DE CUSTOMER SERVICE"/>
    <s v="ASSISTENTE_ESPECIFICO"/>
    <s v="MAT_512"/>
    <x v="511"/>
    <x v="7"/>
    <x v="2"/>
    <x v="511"/>
    <x v="43"/>
    <x v="511"/>
    <s v="Concluído"/>
    <n v="9"/>
    <s v="100%"/>
    <x v="1"/>
    <n v="80"/>
    <n v="80"/>
  </r>
  <r>
    <x v="512"/>
    <s v="ANALISTA DE CUSTOMER SERVICE I"/>
    <s v="PROFISSIONAIS_I"/>
    <s v="MAT_513"/>
    <x v="512"/>
    <x v="7"/>
    <x v="2"/>
    <x v="512"/>
    <x v="44"/>
    <x v="512"/>
    <s v="Concluído"/>
    <n v="8"/>
    <s v="11%"/>
    <x v="0"/>
    <n v="97"/>
    <n v="11"/>
  </r>
  <r>
    <x v="513"/>
    <s v="ESTAGIARIO"/>
    <s v="ESTAGIARIO"/>
    <s v="MAT_514"/>
    <x v="513"/>
    <x v="7"/>
    <x v="2"/>
    <x v="513"/>
    <x v="44"/>
    <x v="513"/>
    <s v="Concluído"/>
    <n v="0"/>
    <s v="100%"/>
    <x v="1"/>
    <n v="80"/>
    <n v="80"/>
  </r>
  <r>
    <x v="514"/>
    <s v="SUPERVISOR DE LOGÍSTICA"/>
    <s v="SUPERVISOR"/>
    <s v="MAT_515"/>
    <x v="514"/>
    <x v="7"/>
    <x v="0"/>
    <x v="514"/>
    <x v="45"/>
    <x v="514"/>
    <s v="Concluído"/>
    <n v="8"/>
    <s v="26%"/>
    <x v="0"/>
    <n v="77"/>
    <n v="20"/>
  </r>
  <r>
    <x v="515"/>
    <s v="GERENTE DE DISTRIBUICAO"/>
    <s v="GERENTE"/>
    <s v="MAT_516"/>
    <x v="515"/>
    <x v="7"/>
    <x v="0"/>
    <x v="515"/>
    <x v="46"/>
    <x v="515"/>
    <s v="Concluído"/>
    <n v="8"/>
    <s v="100%"/>
    <x v="1"/>
    <n v="83"/>
    <n v="83"/>
  </r>
  <r>
    <x v="516"/>
    <s v="ASSISTENTE DE COSTUMER SERVICE"/>
    <s v="ASSISTENTE"/>
    <s v="MAT_517"/>
    <x v="516"/>
    <x v="7"/>
    <x v="2"/>
    <x v="516"/>
    <x v="47"/>
    <x v="516"/>
    <s v="Concluído"/>
    <n v="18"/>
    <s v="20%"/>
    <x v="0"/>
    <n v="76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s v="Colaborador_001"/>
    <s v="SUPERVISOR DE LOGISTICA"/>
    <s v="SUPERVISOR"/>
    <s v="MAT_001"/>
    <s v="Unidade_001"/>
    <s v="CEARA"/>
    <x v="0"/>
    <x v="0"/>
    <s v="TRANSP DISTRIBUIÇÃO - DENTRO DO ESTADO"/>
    <s v="Líder_Imed_001"/>
    <s v="Concluído"/>
    <n v="7"/>
    <s v="28%"/>
    <s v="Cursando"/>
    <n v="82"/>
    <n v="23"/>
  </r>
  <r>
    <s v="Colaborador_002"/>
    <s v="ANALISTA DE LOGÍSTICA"/>
    <s v="PROFISSIONAIS_I"/>
    <s v="MAT_002"/>
    <s v="Unidade_002"/>
    <s v="JASMINE"/>
    <x v="0"/>
    <x v="1"/>
    <s v="LOGISTICA SP (CORPORATIVO)"/>
    <s v="Líder_Imed_002"/>
    <s v="Concluído"/>
    <n v="7"/>
    <s v="100%"/>
    <s v="Concluído"/>
    <n v="70"/>
    <n v="70"/>
  </r>
  <r>
    <s v="Colaborador_003"/>
    <s v="SUPERVISOR DE LOGISTICA"/>
    <s v="SUPERVISOR"/>
    <s v="MAT_003"/>
    <s v="Unidade_003"/>
    <s v="BAHIA"/>
    <x v="0"/>
    <x v="2"/>
    <s v="ALMOXARIFADO DE PRODUTO ACABADO"/>
    <s v="Líder_Imed_003"/>
    <s v="Concluído"/>
    <n v="7"/>
    <s v="100%"/>
    <s v="Concluído"/>
    <n v="118"/>
    <n v="118"/>
  </r>
  <r>
    <s v="Colaborador_004"/>
    <s v="SUPERVISOR DE LOGISTICA"/>
    <s v="SUPERVISOR"/>
    <s v="MAT_004"/>
    <s v="Unidade_004"/>
    <s v="PERNAMBUCO"/>
    <x v="0"/>
    <x v="3"/>
    <s v="ALMOXARIFADO DE PRODUTO ACABADO"/>
    <s v="Líder_Imed_004"/>
    <s v="Concluído"/>
    <n v="7"/>
    <s v="100%"/>
    <s v="Concluído"/>
    <n v="120"/>
    <n v="120"/>
  </r>
  <r>
    <s v="Colaborador_005"/>
    <s v="ANALISTA DE PLANEJ LOGIST I"/>
    <s v="PROFISSIONAIS_I"/>
    <s v="MAT_005"/>
    <s v="Unidade_005"/>
    <s v="BAHIA"/>
    <x v="1"/>
    <x v="4"/>
    <s v="SUPPLY CHAIN"/>
    <s v="Líder_Imed_005"/>
    <s v="Concluído"/>
    <n v="5"/>
    <s v="100%"/>
    <s v="Concluído"/>
    <n v="78"/>
    <n v="78"/>
  </r>
  <r>
    <s v="Colaborador_006"/>
    <s v="ASSISTENTE ADMINISTRATIVO"/>
    <s v="ASSISTENTE"/>
    <s v="MAT_006"/>
    <s v="Unidade_006"/>
    <s v="RIO DE JANEIRO"/>
    <x v="0"/>
    <x v="5"/>
    <s v="DISTRIBUIÇÃO"/>
    <s v="Líder_Imed_006"/>
    <s v="Concluído"/>
    <n v="9"/>
    <s v="54%"/>
    <s v="Cursando"/>
    <n v="84"/>
    <n v="45"/>
  </r>
  <r>
    <s v="Colaborador_007"/>
    <s v="ANALISTA DE LOGISTICA I"/>
    <s v="PROFISSIONAIS_I"/>
    <s v="MAT_007"/>
    <s v="Unidade_007"/>
    <s v="PERNAMBUCO"/>
    <x v="0"/>
    <x v="6"/>
    <s v="REGIONAL DE LOGÍSTICA SUPORTE REGIONAL"/>
    <s v="Líder_Imed_007"/>
    <s v="Concluído"/>
    <n v="9"/>
    <s v="100%"/>
    <s v="Concluído"/>
    <n v="92"/>
    <n v="92"/>
  </r>
  <r>
    <s v="Colaborador_008"/>
    <s v="ASSISTENTE DE OP LOGISTICA II"/>
    <s v="ASSISTENTE"/>
    <s v="MAT_008"/>
    <s v="Unidade_008"/>
    <s v="PERNAMBUCO"/>
    <x v="0"/>
    <x v="7"/>
    <s v="REGIONAL DE LOGÍSTICA SUPORTE REGIONAL"/>
    <s v="Líder_Imed_008"/>
    <s v="Concluído"/>
    <n v="9"/>
    <s v="100%"/>
    <s v="Concluído"/>
    <n v="104"/>
    <n v="104"/>
  </r>
  <r>
    <s v="Colaborador_009"/>
    <s v="ASSISTENTE DE OP LOGISTICA II"/>
    <s v="ASSISTENTE"/>
    <s v="MAT_009"/>
    <s v="Unidade_009"/>
    <s v="CEARA"/>
    <x v="0"/>
    <x v="8"/>
    <s v="FATURAMENTO"/>
    <s v="Líder_Imed_009"/>
    <s v="Concluído"/>
    <n v="9"/>
    <s v="100%"/>
    <s v="Concluído"/>
    <n v="86"/>
    <n v="86"/>
  </r>
  <r>
    <s v="Colaborador_010"/>
    <s v="ASSISTENTE ADMINISTRATIVO"/>
    <s v="ASSISTENTE"/>
    <s v="MAT_010"/>
    <s v="Unidade_010"/>
    <s v="PERNAMBUCO"/>
    <x v="0"/>
    <x v="9"/>
    <s v="ALMOXARIFADO DE PRODUTO ACABADO SUPORTE"/>
    <s v="Líder_Imed_010"/>
    <s v="Concluído"/>
    <n v="18"/>
    <s v="8%"/>
    <s v="Cursando"/>
    <n v="106"/>
    <n v="9"/>
  </r>
  <r>
    <s v="Colaborador_011"/>
    <s v="ANALISTA DE LOGISTICA I"/>
    <s v="PROFISSIONAIS_I"/>
    <s v="MAT_011"/>
    <s v="Unidade_011"/>
    <s v="BAHIA"/>
    <x v="0"/>
    <x v="10"/>
    <s v="ALMOXARIFADO DE PRODUTO ACABADO"/>
    <s v="Líder_Imed_011"/>
    <s v="Concluído"/>
    <n v="9"/>
    <s v="100%"/>
    <s v="Concluído"/>
    <n v="104"/>
    <n v="104"/>
  </r>
  <r>
    <s v="Colaborador_012"/>
    <s v="ANALISTA DE LOGISTICA II"/>
    <s v="PROFISSIONAIS_II"/>
    <s v="MAT_012"/>
    <s v="Unidade_012"/>
    <s v="CEARA"/>
    <x v="0"/>
    <x v="11"/>
    <s v="GESTÃO DA PERFORMANCE"/>
    <s v="Líder_Imed_012"/>
    <s v="Concluído"/>
    <n v="7"/>
    <s v="56%"/>
    <s v="Cursando"/>
    <n v="118"/>
    <n v="66"/>
  </r>
  <r>
    <s v="Colaborador_013"/>
    <s v="SUPERVISOR DE LOGISTICA"/>
    <s v="SUPERVISOR"/>
    <s v="MAT_013"/>
    <s v="Unidade_013"/>
    <s v="PERNAMBUCO"/>
    <x v="0"/>
    <x v="12"/>
    <s v="REGIONAL DE LOGÍSTICA SUPORTE REGIONAL"/>
    <s v="Líder_Imed_013"/>
    <s v="Concluído"/>
    <n v="7"/>
    <s v="100%"/>
    <s v="Concluído"/>
    <n v="66"/>
    <n v="66"/>
  </r>
  <r>
    <s v="Colaborador_014"/>
    <s v="SUPERVISOR DE LOGISTICA"/>
    <s v="SUPERVISOR"/>
    <s v="MAT_014"/>
    <s v="Unidade_014"/>
    <s v="PERNAMBUCO"/>
    <x v="0"/>
    <x v="13"/>
    <s v="ALMOXARIFADO DE PRODUTO ACABADO"/>
    <s v="Líder_Imed_014"/>
    <s v="Concluído"/>
    <n v="6"/>
    <s v="100%"/>
    <s v="Concluído"/>
    <n v="65"/>
    <n v="65"/>
  </r>
  <r>
    <s v="Colaborador_015"/>
    <s v="ASSISTENTE DE OP LOGISTICA II"/>
    <s v="ASSISTENTE"/>
    <s v="MAT_015"/>
    <s v="Unidade_015"/>
    <s v="CEARA"/>
    <x v="0"/>
    <x v="14"/>
    <s v="CENTRAL DE DEVOLUÇÕES"/>
    <s v="Líder_Imed_015"/>
    <s v="Concluído"/>
    <n v="9"/>
    <s v="100%"/>
    <s v="Concluído"/>
    <n v="120"/>
    <n v="120"/>
  </r>
  <r>
    <s v="Colaborador_016"/>
    <s v="ASSISTENTE DE OP LOGISTICA II"/>
    <s v="ASSISTENTE"/>
    <s v="MAT_016"/>
    <s v="Unidade_016"/>
    <s v="CEARA"/>
    <x v="1"/>
    <x v="15"/>
    <s v="SUPPLY CHAIN"/>
    <s v="Líder_Imed_016"/>
    <s v="Concluído"/>
    <n v="9"/>
    <s v="100%"/>
    <s v="Concluído"/>
    <n v="120"/>
    <n v="120"/>
  </r>
  <r>
    <s v="Colaborador_017"/>
    <s v="ANALISTA DE CUSTOMER SERVICE I"/>
    <s v="PROFISSIONAIS_I"/>
    <s v="MAT_017"/>
    <s v="Unidade_017"/>
    <s v="CEARA"/>
    <x v="2"/>
    <x v="16"/>
    <s v="CUSTOMER SERVICE INTERNO"/>
    <s v="Líder_Imed_017"/>
    <s v="Concluído"/>
    <n v="9"/>
    <s v="100%"/>
    <s v="Concluído"/>
    <n v="80"/>
    <n v="80"/>
  </r>
  <r>
    <s v="Colaborador_018"/>
    <s v="COORDENADOR DE LOGISTICA"/>
    <s v="COORDENADOR"/>
    <s v="MAT_018"/>
    <s v="Unidade_018"/>
    <s v="CEARA"/>
    <x v="0"/>
    <x v="17"/>
    <s v="GESTÃO DE TRANSPORTES"/>
    <s v="Líder_Imed_018"/>
    <s v="Concluído"/>
    <n v="5"/>
    <s v="100%"/>
    <s v="Concluído"/>
    <n v="76"/>
    <n v="76"/>
  </r>
  <r>
    <s v="Colaborador_019"/>
    <s v="ANALISTA DE PCP JR"/>
    <s v="PROFISSIONAIS_I"/>
    <s v="MAT_019"/>
    <s v="Unidade_019"/>
    <s v="JASMINE"/>
    <x v="1"/>
    <x v="18"/>
    <s v="GERÊNCIA INDUSTRIAL JASMINE"/>
    <s v="Líder_Imed_019"/>
    <s v="Concluído"/>
    <n v="7"/>
    <s v="100%"/>
    <s v="Concluído"/>
    <n v="73"/>
    <n v="73"/>
  </r>
  <r>
    <s v="Colaborador_020"/>
    <s v="ASSISTENTE DE OP LOGISTICA I"/>
    <s v="ASSISTENTE"/>
    <s v="MAT_020"/>
    <s v="Unidade_020"/>
    <s v="BAHIA"/>
    <x v="0"/>
    <x v="19"/>
    <s v="ALMOXARIFADO DE PRODUTO ACABADO"/>
    <s v="Líder_Imed_020"/>
    <s v="Concluído"/>
    <n v="7"/>
    <s v="100%"/>
    <s v="Concluído"/>
    <n v="78"/>
    <n v="78"/>
  </r>
  <r>
    <s v="Colaborador_021"/>
    <s v="ANALISTA DE PLANEJ LOGIST I"/>
    <s v="PROFISSIONAIS_I"/>
    <s v="MAT_021"/>
    <s v="Unidade_021"/>
    <s v="CEARA"/>
    <x v="0"/>
    <x v="20"/>
    <s v="CENTRAL DE PAGAMENTOS"/>
    <s v="Líder_Imed_021"/>
    <s v="Concluído"/>
    <n v="7"/>
    <s v="100%"/>
    <s v="Concluído"/>
    <n v="68"/>
    <n v="68"/>
  </r>
  <r>
    <s v="Colaborador_022"/>
    <s v="ANALISTA DE LOGISTICA I"/>
    <s v="PROFISSIONAIS_I"/>
    <s v="MAT_022"/>
    <s v="Unidade_022"/>
    <s v="RIO GRANDE DO NORTE"/>
    <x v="0"/>
    <x v="21"/>
    <s v="TRANSP DISTRIBUIÇÃO - DENTRO DO ESTADO"/>
    <s v="Líder_Imed_022"/>
    <s v="Concluído"/>
    <n v="9"/>
    <s v="52%"/>
    <s v="Cursando"/>
    <n v="86"/>
    <n v="45"/>
  </r>
  <r>
    <s v="Colaborador_023"/>
    <s v="ANALISTA DE LOGISTICA I"/>
    <s v="PROFISSIONAIS_I"/>
    <s v="MAT_023"/>
    <s v="Unidade_023"/>
    <s v="PERNAMBUCO"/>
    <x v="0"/>
    <x v="22"/>
    <s v="REGIONAL DE LOGÍSTICA SUPORTE REGIONAL"/>
    <s v="Líder_Imed_023"/>
    <s v="Concluído"/>
    <n v="7"/>
    <s v="66%"/>
    <s v="Cursando"/>
    <n v="58"/>
    <n v="38"/>
  </r>
  <r>
    <s v="Colaborador_024"/>
    <s v="ASSISTENTE DE OP LOGISTICA I"/>
    <s v="ASSISTENTE"/>
    <s v="MAT_024"/>
    <s v="Unidade_024"/>
    <s v="RIO GRANDE DO SUL"/>
    <x v="0"/>
    <x v="23"/>
    <s v="REGIONAL DE LOGÍSTICA SUPORTE REGIONAL"/>
    <s v="Líder_Imed_024"/>
    <s v="Concluído"/>
    <n v="9"/>
    <s v="61%"/>
    <s v="Cursando"/>
    <n v="120"/>
    <n v="73"/>
  </r>
  <r>
    <s v="Colaborador_025"/>
    <s v="ASSISTENTE DE OP LOGISTICA I"/>
    <s v="ASSISTENTE"/>
    <s v="MAT_025"/>
    <s v="Unidade_025"/>
    <s v="CEARA"/>
    <x v="0"/>
    <x v="24"/>
    <s v="GESTÃO DE TRANSPORTES"/>
    <s v="Líder_Imed_025"/>
    <s v="Concluído"/>
    <n v="9"/>
    <s v="100%"/>
    <s v="Concluído"/>
    <n v="70"/>
    <n v="70"/>
  </r>
  <r>
    <s v="Colaborador_026"/>
    <s v="ANALISTA DE LOGISTICA II"/>
    <s v="PROFISSIONAIS_II"/>
    <s v="MAT_026"/>
    <s v="Unidade_026"/>
    <s v="CEARA"/>
    <x v="0"/>
    <x v="25"/>
    <s v="CENTRAL DE MONITORAMENTO"/>
    <s v="Líder_Imed_026"/>
    <s v="Concluído"/>
    <n v="9"/>
    <s v="67%"/>
    <s v="Cursando"/>
    <n v="70"/>
    <n v="47"/>
  </r>
  <r>
    <s v="Colaborador_027"/>
    <s v="ANALISTA DE LOGISTICA I"/>
    <s v="PROFISSIONAIS_I"/>
    <s v="MAT_027"/>
    <s v="Unidade_027"/>
    <s v="PERNAMBUCO"/>
    <x v="0"/>
    <x v="26"/>
    <s v="CUSTOS LOGÍSTICOS E ORÇAMENTO"/>
    <s v="Líder_Imed_027"/>
    <s v="Concluído"/>
    <n v="9"/>
    <s v="15%"/>
    <s v="Cursando"/>
    <n v="116"/>
    <n v="17"/>
  </r>
  <r>
    <s v="Colaborador_028"/>
    <s v="SUPERVISOR DE LOGISTICA"/>
    <s v="SUPERVISOR"/>
    <s v="MAT_028"/>
    <s v="Unidade_028"/>
    <s v="RIO DE JANEIRO"/>
    <x v="0"/>
    <x v="27"/>
    <s v="DISTRIBUIÇÃO"/>
    <s v="Líder_Imed_028"/>
    <s v="Concluído"/>
    <n v="7"/>
    <s v="100%"/>
    <s v="Concluído"/>
    <n v="66"/>
    <n v="66"/>
  </r>
  <r>
    <s v="Colaborador_029"/>
    <s v="ANALISTA DE PLANEJ LOGIST III"/>
    <s v="PROFISSIONAIS_III"/>
    <s v="MAT_029"/>
    <s v="Unidade_029"/>
    <s v="PERNAMBUCO"/>
    <x v="1"/>
    <x v="28"/>
    <s v="SUPPLY CHAIN"/>
    <s v="Líder_Imed_029"/>
    <s v="Concluído"/>
    <n v="5"/>
    <s v="65%"/>
    <s v="Cursando"/>
    <n v="46"/>
    <n v="30"/>
  </r>
  <r>
    <s v="Colaborador_030"/>
    <s v="ASSISTENTE DE OP LOGISTICA I"/>
    <s v="ASSISTENTE"/>
    <s v="MAT_030"/>
    <s v="Unidade_030"/>
    <s v="CEARA"/>
    <x v="0"/>
    <x v="29"/>
    <s v="GESTÃO DE TRANSPORTES"/>
    <s v="Líder_Imed_030"/>
    <s v="Concluído"/>
    <n v="7"/>
    <s v="74%"/>
    <s v="Cursando"/>
    <n v="62"/>
    <n v="46"/>
  </r>
  <r>
    <s v="Colaborador_031"/>
    <s v="ANALISTA DE PLANEJ LOGIST III"/>
    <s v="PROFISSIONAIS_III"/>
    <s v="MAT_031"/>
    <s v="Unidade_031"/>
    <s v="SAO PAULO"/>
    <x v="1"/>
    <x v="30"/>
    <s v="PLANEJAMENTO INTEGRADO"/>
    <s v="Líder_Imed_031"/>
    <s v="Concluído"/>
    <n v="5"/>
    <s v="100%"/>
    <s v="Concluído"/>
    <n v="62"/>
    <n v="62"/>
  </r>
  <r>
    <s v="Colaborador_032"/>
    <s v="ANALISTA DE CUSTOMER SERVICE II"/>
    <s v="PROFISSIONAIS_II"/>
    <s v="MAT_032"/>
    <s v="Unidade_032"/>
    <s v="SAO PAULO"/>
    <x v="2"/>
    <x v="31"/>
    <s v="CUSTOMER SERVICE INTERNO"/>
    <s v="Líder_Imed_032"/>
    <s v="Concluído"/>
    <n v="5"/>
    <s v="93%"/>
    <s v="Cursando"/>
    <n v="46"/>
    <n v="43"/>
  </r>
  <r>
    <s v="Colaborador_033"/>
    <s v="ESPECIALISTA DE LOGISTICA"/>
    <s v="ESPECIALISTA"/>
    <s v="MAT_033"/>
    <s v="Unidade_033"/>
    <s v="SAO PAULO"/>
    <x v="0"/>
    <x v="32"/>
    <s v="OPERAÇÕES LOGÍSTICAS - SÃO CAETANO SUL"/>
    <s v="Líder_Imed_033"/>
    <s v="Concluído"/>
    <n v="7"/>
    <s v="100%"/>
    <s v="Concluído"/>
    <n v="98"/>
    <n v="98"/>
  </r>
  <r>
    <s v="Colaborador_034"/>
    <s v="ASSISTENTE ADMINISTRATIVO"/>
    <s v="ASSISTENTE"/>
    <s v="MAT_034"/>
    <s v="Unidade_034"/>
    <s v="PERNAMBUCO"/>
    <x v="0"/>
    <x v="33"/>
    <s v="TRANSP DISTRIBUIÇÃO - DENTRO DO ESTADO"/>
    <s v="Líder_Imed_034"/>
    <s v="Concluído"/>
    <n v="9"/>
    <s v="94%"/>
    <s v="Cursando"/>
    <n v="106"/>
    <n v="100"/>
  </r>
  <r>
    <s v="Colaborador_035"/>
    <s v="COORDENADOR DE LOGISTICA"/>
    <s v="COORDENADOR"/>
    <s v="MAT_035"/>
    <s v="Unidade_035"/>
    <s v="SAO PAULO"/>
    <x v="0"/>
    <x v="34"/>
    <s v="ALMOXARIFADO DE PRODUTO ACABADO"/>
    <s v="Líder_Imed_035"/>
    <s v="Concluído"/>
    <n v="7"/>
    <s v="100%"/>
    <s v="Concluído"/>
    <n v="98"/>
    <n v="98"/>
  </r>
  <r>
    <s v="Colaborador_036"/>
    <s v="ANALISTA DE LOGISTICA I"/>
    <s v="PROFISSIONAIS_I"/>
    <s v="MAT_036"/>
    <s v="Unidade_036"/>
    <s v="SAO PAULO"/>
    <x v="0"/>
    <x v="35"/>
    <s v="DISTRIBUIÇÃO"/>
    <s v="Líder_Imed_036"/>
    <s v="Concluído"/>
    <n v="7"/>
    <s v="100%"/>
    <s v="Concluído"/>
    <n v="106"/>
    <n v="106"/>
  </r>
  <r>
    <s v="Colaborador_037"/>
    <s v="COORDENADOR DE LOGISTICA"/>
    <s v="COORDENADOR"/>
    <s v="MAT_037"/>
    <s v="Unidade_037"/>
    <s v="PERNAMBUCO"/>
    <x v="0"/>
    <x v="36"/>
    <s v="ALMOXARIFADO DE PRODUTO ACABADO SUPORTE"/>
    <s v="Líder_Imed_037"/>
    <s v="Concluído"/>
    <n v="7"/>
    <s v="100%"/>
    <s v="Concluído"/>
    <n v="82"/>
    <n v="82"/>
  </r>
  <r>
    <s v="Colaborador_038"/>
    <s v="ESPECIALISTA DE LOGISTICA"/>
    <s v="ESPECIALISTA"/>
    <s v="MAT_038"/>
    <s v="Unidade_038"/>
    <s v="CEARA"/>
    <x v="1"/>
    <x v="37"/>
    <s v="MELHORIA CONTÍNUA"/>
    <s v="Líder_Imed_038"/>
    <s v="Concluído"/>
    <n v="6"/>
    <s v="100%"/>
    <s v="Concluído"/>
    <n v="65"/>
    <n v="65"/>
  </r>
  <r>
    <s v="Colaborador_039"/>
    <s v="ANALISTA DE CUSTOMER SERVICE I"/>
    <s v="PROFISSIONAIS_I"/>
    <s v="MAT_039"/>
    <s v="Unidade_039"/>
    <s v="CEARA"/>
    <x v="2"/>
    <x v="38"/>
    <s v="CUSTOMER SERVICE INTERNO"/>
    <s v="Líder_Imed_039"/>
    <s v="Concluído"/>
    <n v="9"/>
    <s v="100%"/>
    <s v="Concluído"/>
    <n v="80"/>
    <n v="80"/>
  </r>
  <r>
    <s v="Colaborador_040"/>
    <s v="ASSISTENTE DE OP LOGISTICA II"/>
    <s v="ASSISTENTE"/>
    <s v="MAT_040"/>
    <s v="Unidade_040"/>
    <s v="CEARA"/>
    <x v="0"/>
    <x v="39"/>
    <s v="GESTÃO DE TRANSPORTES"/>
    <s v="Líder_Imed_040"/>
    <s v="Concluído"/>
    <n v="9"/>
    <s v="53%"/>
    <s v="Cursando"/>
    <n v="80"/>
    <n v="42"/>
  </r>
  <r>
    <s v="Colaborador_041"/>
    <s v="ANALISTA DE LOGISTICA I"/>
    <s v="PROFISSIONAIS_I"/>
    <s v="MAT_041"/>
    <s v="Unidade_041"/>
    <s v="CEARA"/>
    <x v="0"/>
    <x v="40"/>
    <s v="CUSTOS LOGÍSTICOS E ORÇAMENTO"/>
    <s v="Líder_Imed_041"/>
    <s v="Concluído"/>
    <n v="7"/>
    <s v="100%"/>
    <s v="Concluído"/>
    <n v="81"/>
    <n v="81"/>
  </r>
  <r>
    <s v="Colaborador_042"/>
    <s v="ASSISTENTE DE OP LOGISTICA I"/>
    <s v="ASSISTENTE"/>
    <s v="MAT_042"/>
    <s v="Unidade_042"/>
    <s v="MARANHAO"/>
    <x v="0"/>
    <x v="41"/>
    <s v="TRANSP DISTRIBUIÇÃO - DENTRO DO ESTADO"/>
    <s v="Líder_Imed_042"/>
    <s v="Concluído"/>
    <n v="18"/>
    <s v="100%"/>
    <s v="Concluído"/>
    <n v="106"/>
    <n v="106"/>
  </r>
  <r>
    <s v="Colaborador_043"/>
    <s v="ANALISTA DE PLANEJ LOGIST II"/>
    <s v="PROFISSIONAIS_II"/>
    <s v="MAT_043"/>
    <s v="Unidade_043"/>
    <s v="CEARA"/>
    <x v="1"/>
    <x v="42"/>
    <s v="SUPPLY CHAIN"/>
    <s v="Líder_Imed_043"/>
    <s v="Concluído"/>
    <n v="5"/>
    <s v="54%"/>
    <s v="Cursando"/>
    <n v="72"/>
    <n v="39"/>
  </r>
  <r>
    <s v="Colaborador_044"/>
    <s v="GERENTE CORPORATIVO LOGISTICA"/>
    <s v="GERENTE"/>
    <s v="MAT_044"/>
    <s v="Unidade_044"/>
    <s v="CEARA"/>
    <x v="3"/>
    <x v="43"/>
    <s v="PLANEJAMENTO ESTRATÉGICO"/>
    <s v="Líder_Imed_044"/>
    <s v="Concluído"/>
    <n v="5"/>
    <s v="100%"/>
    <s v="Concluído"/>
    <n v="72"/>
    <n v="72"/>
  </r>
  <r>
    <s v="Colaborador_045"/>
    <s v="ANALISTA DE LOGISTICA I"/>
    <s v="PROFISSIONAIS_I"/>
    <s v="MAT_045"/>
    <s v="Unidade_045"/>
    <s v="ESPIRITO SANTO"/>
    <x v="0"/>
    <x v="44"/>
    <s v="ALMOXARIFADO DE PRODUTO ACABADO"/>
    <s v="Líder_Imed_045"/>
    <s v="Concluído"/>
    <n v="7"/>
    <s v="100%"/>
    <s v="Concluído"/>
    <n v="78"/>
    <n v="78"/>
  </r>
  <r>
    <s v="Colaborador_046"/>
    <s v="ASSISTENTE DE OP LOGISTICA III"/>
    <s v="ASSISTENTE"/>
    <s v="MAT_046"/>
    <s v="Unidade_046"/>
    <s v="PARAIBA"/>
    <x v="0"/>
    <x v="45"/>
    <s v="TRANSP DISTRIBUIÇÃO - DENTRO DO ESTADO"/>
    <s v="Líder_Imed_046"/>
    <s v="Concluído"/>
    <n v="7"/>
    <s v="33%"/>
    <s v="Cursando"/>
    <n v="64"/>
    <n v="21"/>
  </r>
  <r>
    <s v="Colaborador_047"/>
    <s v="COORDENADOR DE LOGISTICA"/>
    <s v="COORDENADOR"/>
    <s v="MAT_047"/>
    <s v="Unidade_047"/>
    <s v="PERNAMBUCO"/>
    <x v="0"/>
    <x v="46"/>
    <s v="ALMOXARIFADO DE PRODUTO ACABADO"/>
    <s v="Líder_Imed_047"/>
    <s v="Concluído"/>
    <n v="7"/>
    <s v="100%"/>
    <s v="Concluído"/>
    <n v="75"/>
    <n v="75"/>
  </r>
  <r>
    <s v="Colaborador_048"/>
    <s v="ANALISTA DE LOGISTICA I"/>
    <s v="PROFISSIONAIS_I"/>
    <s v="MAT_048"/>
    <s v="Unidade_048"/>
    <s v="CEARA"/>
    <x v="0"/>
    <x v="47"/>
    <s v="GESTÃO DE TRANSPORTES"/>
    <s v="Líder_Imed_048"/>
    <s v="Concluído"/>
    <n v="9"/>
    <s v="100%"/>
    <s v="Concluído"/>
    <n v="78"/>
    <n v="78"/>
  </r>
  <r>
    <s v="Colaborador_049"/>
    <s v="ASSISTENTE DE CUSTOMER SERVICE"/>
    <s v="ASSISTENTE_ESPECIFICO"/>
    <s v="MAT_049"/>
    <s v="Unidade_049"/>
    <s v="PERNAMBUCO"/>
    <x v="2"/>
    <x v="48"/>
    <s v="CUSTOMER SERVICE EXTERNO"/>
    <s v="Líder_Imed_049"/>
    <s v="Concluído"/>
    <n v="7"/>
    <s v="100%"/>
    <s v="Concluído"/>
    <n v="74"/>
    <n v="74"/>
  </r>
  <r>
    <s v="Colaborador_050"/>
    <s v="GERENTE DE CUSTOMER SERVICE"/>
    <s v="GERENTE"/>
    <s v="MAT_050"/>
    <s v="Unidade_050"/>
    <s v="SAO PAULO"/>
    <x v="2"/>
    <x v="49"/>
    <s v="CUSTOMER SERVICE EXTERNO"/>
    <s v="Líder_Imed_050"/>
    <s v="Concluído"/>
    <n v="7"/>
    <s v="100%"/>
    <s v="Concluído"/>
    <n v="78"/>
    <n v="78"/>
  </r>
  <r>
    <s v="Colaborador_051"/>
    <s v="SUPERVISOR DE LOGISTICA"/>
    <s v="SUPERVISOR"/>
    <s v="MAT_051"/>
    <s v="Unidade_051"/>
    <s v="CEARA"/>
    <x v="0"/>
    <x v="50"/>
    <s v="TRANSP DISTRIBUIÇÃO - DENTRO DO ESTADO"/>
    <s v="Líder_Imed_051"/>
    <s v="Concluído"/>
    <n v="7"/>
    <s v="100%"/>
    <s v="Concluído"/>
    <n v="82"/>
    <n v="82"/>
  </r>
  <r>
    <s v="Colaborador_052"/>
    <s v="SUPERVISOR DE LOGISTICA"/>
    <s v="SUPERVISOR"/>
    <s v="MAT_052"/>
    <s v="Unidade_052"/>
    <s v="CEARA"/>
    <x v="0"/>
    <x v="51"/>
    <s v="TRANSP DISTRIBUIÇÃO - DENTRO DO ESTADO"/>
    <s v="Líder_Imed_052"/>
    <s v="Concluído"/>
    <n v="5"/>
    <s v="100%"/>
    <s v="Concluído"/>
    <n v="76"/>
    <n v="76"/>
  </r>
  <r>
    <s v="Colaborador_053"/>
    <s v="ASSISTENTE DE OP LOGISTICA II"/>
    <s v="ASSISTENTE"/>
    <s v="MAT_053"/>
    <s v="Unidade_053"/>
    <s v="SAO PAULO"/>
    <x v="0"/>
    <x v="52"/>
    <s v="FATURAMENTO"/>
    <s v="Líder_Imed_053"/>
    <s v="Concluído"/>
    <n v="9"/>
    <s v="100%"/>
    <s v="Concluído"/>
    <n v="84"/>
    <n v="84"/>
  </r>
  <r>
    <s v="Colaborador_054"/>
    <s v="ASSISTENTE ADMINISTRATIVO"/>
    <s v="ASSISTENTE"/>
    <s v="MAT_054"/>
    <s v="Unidade_054"/>
    <s v="PERNAMBUCO"/>
    <x v="0"/>
    <x v="53"/>
    <s v="ALMOXARIFADO DE PRODUTO ACABADO SUPORTE"/>
    <s v="Líder_Imed_054"/>
    <s v="Concluído"/>
    <n v="7"/>
    <s v="100%"/>
    <s v="Concluído"/>
    <n v="64"/>
    <n v="64"/>
  </r>
  <r>
    <s v="Colaborador_055"/>
    <s v="ASSISTENTE DE OP LOGISTICA II"/>
    <s v="ASSISTENTE"/>
    <s v="MAT_055"/>
    <s v="Unidade_055"/>
    <s v="MINAS GERAIS"/>
    <x v="0"/>
    <x v="54"/>
    <s v="ALMOXARIFADO DE PRODUTO ACABADO"/>
    <s v="Líder_Imed_055"/>
    <s v="Concluído"/>
    <n v="36"/>
    <s v="59%"/>
    <s v="Cursando"/>
    <n v="86"/>
    <n v="51"/>
  </r>
  <r>
    <s v="Colaborador_056"/>
    <s v="ANALISTA DE LOGISTICA I"/>
    <s v="PROFISSIONAIS_I"/>
    <s v="MAT_056"/>
    <s v="Unidade_056"/>
    <s v="RIO GRANDE DO SUL"/>
    <x v="0"/>
    <x v="55"/>
    <s v="EXPEDIÇÃO VERTICALIZADAS"/>
    <s v="Líder_Imed_056"/>
    <s v="Concluído"/>
    <n v="9"/>
    <s v="100%"/>
    <s v="Concluído"/>
    <n v="106"/>
    <n v="106"/>
  </r>
  <r>
    <s v="Colaborador_057"/>
    <s v="ANALISTA DE LOGISTICA I"/>
    <s v="PROFISSIONAIS_I"/>
    <s v="MAT_057"/>
    <s v="Unidade_057"/>
    <s v="RIO DE JANEIRO"/>
    <x v="0"/>
    <x v="56"/>
    <s v="ALMOXARIFADO DE PRODUTO ACABADO"/>
    <s v="Líder_Imed_057"/>
    <s v="Concluído"/>
    <n v="9"/>
    <s v="28%"/>
    <s v="Cursando"/>
    <n v="104"/>
    <n v="29"/>
  </r>
  <r>
    <s v="Colaborador_058"/>
    <s v="ASSISTENTE ADMINISTRATIVO"/>
    <s v="ASSISTENTE"/>
    <s v="MAT_058"/>
    <s v="Unidade_058"/>
    <s v="PERNAMBUCO"/>
    <x v="0"/>
    <x v="57"/>
    <s v="ALMOXARIFADO DE PRODUTO ACABADO"/>
    <s v="Líder_Imed_058"/>
    <s v="Concluído"/>
    <n v="9"/>
    <s v="100%"/>
    <s v="Concluído"/>
    <n v="106"/>
    <n v="106"/>
  </r>
  <r>
    <s v="Colaborador_059"/>
    <s v="ANALISTA DE CUSTOMER SERVICE I"/>
    <s v="PROFISSIONAIS_I"/>
    <s v="MAT_059"/>
    <s v="Unidade_059"/>
    <s v="CEARA"/>
    <x v="2"/>
    <x v="58"/>
    <s v="CUSTOMER SERVICE INTERNO"/>
    <s v="Líder_Imed_059"/>
    <s v="Concluído"/>
    <n v="7"/>
    <s v="100%"/>
    <s v="Concluído"/>
    <n v="70"/>
    <n v="70"/>
  </r>
  <r>
    <s v="Colaborador_060"/>
    <s v="ANALISTA DE LOGISTICA I"/>
    <s v="PROFISSIONAIS_I"/>
    <s v="MAT_060"/>
    <s v="Unidade_060"/>
    <s v="SAO PAULO"/>
    <x v="0"/>
    <x v="59"/>
    <s v="DISTRIBUIÇÃO"/>
    <s v="Líder_Imed_060"/>
    <s v="Concluído"/>
    <n v="9"/>
    <s v="100%"/>
    <s v="Concluído"/>
    <n v="70"/>
    <n v="70"/>
  </r>
  <r>
    <s v="Colaborador_061"/>
    <s v="ASSISTENTE DE OP LOGISTICA III"/>
    <s v="ASSISTENTE"/>
    <s v="MAT_061"/>
    <s v="Unidade_061"/>
    <s v="PARAIBA"/>
    <x v="0"/>
    <x v="60"/>
    <s v="TRANSP DISTRIBUIÇÃO - DENTRO DO ESTADO"/>
    <s v="Líder_Imed_061"/>
    <s v="Concluído"/>
    <n v="9"/>
    <s v="100%"/>
    <s v="Concluído"/>
    <n v="84"/>
    <n v="84"/>
  </r>
  <r>
    <s v="Colaborador_062"/>
    <s v="ASSISTENTE DE OP LOGISTICA III"/>
    <s v="ASSISTENTE"/>
    <s v="MAT_062"/>
    <s v="Unidade_062"/>
    <s v="RIO GRANDE DO SUL"/>
    <x v="0"/>
    <x v="61"/>
    <s v="TRANSP DISTRIBUIÇÃO - DENTRO DO ESTADO"/>
    <s v="Líder_Imed_062"/>
    <s v="Concluído"/>
    <n v="9"/>
    <s v="100%"/>
    <s v="Concluído"/>
    <n v="86"/>
    <n v="86"/>
  </r>
  <r>
    <s v="Colaborador_063"/>
    <s v="ASSISTENTE DE OP LOGISTICA III"/>
    <s v="ASSISTENTE"/>
    <s v="MAT_063"/>
    <s v="Unidade_063"/>
    <s v="RIO DE JANEIRO"/>
    <x v="1"/>
    <x v="62"/>
    <s v="SUPPLY CHAIN"/>
    <s v="Líder_Imed_063"/>
    <s v="Concluído"/>
    <n v="7"/>
    <s v="100%"/>
    <s v="Concluído"/>
    <n v="58"/>
    <n v="58"/>
  </r>
  <r>
    <s v="Colaborador_064"/>
    <s v="LIDER DE LOGISTICA"/>
    <s v="LIDER_OPERACIONAL"/>
    <s v="MAT_064"/>
    <s v="Unidade_064"/>
    <s v="SAO PAULO"/>
    <x v="0"/>
    <x v="63"/>
    <s v="DISTRIBUIÇÃO"/>
    <s v="Líder_Imed_064"/>
    <s v="Concluído"/>
    <n v="7"/>
    <s v="100%"/>
    <s v="Concluído"/>
    <n v="78"/>
    <n v="78"/>
  </r>
  <r>
    <s v="Colaborador_065"/>
    <s v="ANALISTA DE CUSTOMER SERVICE III"/>
    <s v="PROFISSIONAIS_III"/>
    <s v="MAT_065"/>
    <s v="Unidade_065"/>
    <s v="SAO PAULO"/>
    <x v="2"/>
    <x v="64"/>
    <s v="CUSTOMER SERVICE EXTERNO"/>
    <s v="Líder_Imed_065"/>
    <s v="Concluído"/>
    <n v="7"/>
    <s v="100%"/>
    <s v="Concluído"/>
    <n v="58"/>
    <n v="58"/>
  </r>
  <r>
    <s v="Colaborador_066"/>
    <s v="ANALISTA DE LOGISTICA II"/>
    <s v="PROFISSIONAIS_II"/>
    <s v="MAT_066"/>
    <s v="Unidade_066"/>
    <s v="CEARA"/>
    <x v="0"/>
    <x v="65"/>
    <s v="DISTRIBUIÇÃO"/>
    <s v="Líder_Imed_066"/>
    <s v="Concluído"/>
    <n v="9"/>
    <s v="87%"/>
    <s v="Cursando"/>
    <n v="84"/>
    <n v="73"/>
  </r>
  <r>
    <s v="Colaborador_067"/>
    <s v="ASSISTENTE DE OP LOGISTICA II"/>
    <s v="ASSISTENTE"/>
    <s v="MAT_067"/>
    <s v="Unidade_067"/>
    <s v="CEARA"/>
    <x v="0"/>
    <x v="66"/>
    <s v="CENTRAL DE MONITORAMENTO"/>
    <s v="Líder_Imed_067"/>
    <s v="Concluído"/>
    <n v="9"/>
    <s v="100%"/>
    <s v="Concluído"/>
    <n v="84"/>
    <n v="84"/>
  </r>
  <r>
    <s v="Colaborador_068"/>
    <s v="ANALISTA DE LOGISTICA I"/>
    <s v="PROFISSIONAIS_I"/>
    <s v="MAT_068"/>
    <s v="Unidade_068"/>
    <s v="BAHIA"/>
    <x v="0"/>
    <x v="67"/>
    <s v="CUSTOS LOGÍSTICOS E ORÇAMENTO"/>
    <s v="Líder_Imed_068"/>
    <s v="Concluído"/>
    <n v="9"/>
    <s v="100%"/>
    <s v="Concluído"/>
    <n v="78"/>
    <n v="78"/>
  </r>
  <r>
    <s v="Colaborador_069"/>
    <s v="ASSISTENTE DE OP LOGISTICA II"/>
    <s v="ASSISTENTE"/>
    <s v="MAT_069"/>
    <s v="Unidade_069"/>
    <s v="PERNAMBUCO"/>
    <x v="0"/>
    <x v="68"/>
    <s v="GESTÃO DE TRANSPORTES"/>
    <s v="Líder_Imed_069"/>
    <s v="Concluído"/>
    <n v="9"/>
    <s v="76%"/>
    <s v="Cursando"/>
    <n v="66"/>
    <n v="50"/>
  </r>
  <r>
    <s v="Colaborador_070"/>
    <s v="ASSISTENTE DE OP LOGISTICA III"/>
    <s v="ASSISTENTE"/>
    <s v="MAT_070"/>
    <s v="Unidade_070"/>
    <s v="RIO GRANDE DO SUL"/>
    <x v="0"/>
    <x v="69"/>
    <s v="TRANSP DISTRIBUIÇÃO - DENTRO DO ESTADO"/>
    <s v="Líder_Imed_070"/>
    <s v="Concluído"/>
    <n v="9"/>
    <s v="100%"/>
    <s v="Concluído"/>
    <n v="108"/>
    <n v="108"/>
  </r>
  <r>
    <s v="Colaborador_071"/>
    <s v="ANALISTA DE CUSTOMER SERVICE I"/>
    <s v="PROFISSIONAIS_I"/>
    <s v="MAT_071"/>
    <s v="Unidade_071"/>
    <s v="SAO PAULO"/>
    <x v="2"/>
    <x v="70"/>
    <s v="CUSTOMER SERVICE INTERNO"/>
    <s v="Líder_Imed_071"/>
    <s v="Concluído"/>
    <n v="9"/>
    <s v="100%"/>
    <s v="Concluído"/>
    <n v="80"/>
    <n v="80"/>
  </r>
  <r>
    <s v="Colaborador_072"/>
    <s v="ASSISTENTE DE OP LOGISTICA II"/>
    <s v="ASSISTENTE"/>
    <s v="MAT_072"/>
    <s v="Unidade_072"/>
    <s v="MARANHAO"/>
    <x v="0"/>
    <x v="71"/>
    <s v="TRANSP DISTRIBUIÇÃO - DENTRO DO ESTADO"/>
    <s v="Líder_Imed_072"/>
    <s v="Concluído"/>
    <n v="9"/>
    <s v="100%"/>
    <s v="Concluído"/>
    <n v="108"/>
    <n v="108"/>
  </r>
  <r>
    <s v="Colaborador_073"/>
    <s v="ANALISTA DE CUSTOMER SERVICE I"/>
    <s v="PROFISSIONAIS_I"/>
    <s v="MAT_073"/>
    <s v="Unidade_073"/>
    <s v="CEARA"/>
    <x v="2"/>
    <x v="72"/>
    <s v="CUSTOMER SERVICE INTERNO"/>
    <s v="Líder_Imed_073"/>
    <s v="Concluído"/>
    <n v="7"/>
    <s v="6%"/>
    <s v="Cursando"/>
    <n v="78"/>
    <n v="5"/>
  </r>
  <r>
    <s v="Colaborador_074"/>
    <s v="ANALISTA DE PLANEJ LOGIST III"/>
    <s v="PROFISSIONAIS_III"/>
    <s v="MAT_074"/>
    <s v="Unidade_074"/>
    <s v="CEARA"/>
    <x v="1"/>
    <x v="73"/>
    <s v="MELHORIA CONTÍNUA"/>
    <s v="Líder_Imed_074"/>
    <s v="Concluído"/>
    <n v="4"/>
    <s v="100%"/>
    <s v="Concluído"/>
    <n v="75"/>
    <n v="75"/>
  </r>
  <r>
    <s v="Colaborador_075"/>
    <s v="ANALISTA DE CUSTOMER SERVICE II"/>
    <s v="PROFISSIONAIS_II"/>
    <s v="MAT_075"/>
    <s v="Unidade_075"/>
    <s v="SAO PAULO"/>
    <x v="2"/>
    <x v="74"/>
    <s v="CUSTOMER SERVICE INTERNO"/>
    <s v="Líder_Imed_075"/>
    <s v="Concluído"/>
    <n v="7"/>
    <s v="100%"/>
    <s v="Concluído"/>
    <n v="58"/>
    <n v="58"/>
  </r>
  <r>
    <s v="Colaborador_076"/>
    <s v="ASSISTENTE DE OP LOGISTICA II"/>
    <s v="ASSISTENTE"/>
    <s v="MAT_076"/>
    <s v="Unidade_076"/>
    <s v="CEARA"/>
    <x v="0"/>
    <x v="75"/>
    <s v="ALMOXARIFADO DE PRODUTO ACABADO"/>
    <s v="Líder_Imed_076"/>
    <s v="Concluído"/>
    <n v="7"/>
    <s v="100%"/>
    <s v="Concluído"/>
    <n v="78"/>
    <n v="78"/>
  </r>
  <r>
    <s v="Colaborador_077"/>
    <s v="ASSISTENTE DE OP LOGISTICA III"/>
    <s v="ASSISTENTE"/>
    <s v="MAT_077"/>
    <s v="Unidade_077"/>
    <s v="RIO GRANDE DO NORTE"/>
    <x v="0"/>
    <x v="76"/>
    <s v="TRANSP DISTRIBUIÇÃO - DENTRO DO ESTADO"/>
    <s v="Líder_Imed_077"/>
    <s v="Concluído"/>
    <n v="9"/>
    <s v="20%"/>
    <s v="Cursando"/>
    <n v="70"/>
    <n v="14"/>
  </r>
  <r>
    <s v="Colaborador_078"/>
    <s v="COORDENADOR DE LOGISTICA"/>
    <s v="COORDENADOR"/>
    <s v="MAT_078"/>
    <s v="Unidade_078"/>
    <s v="PERNAMBUCO"/>
    <x v="0"/>
    <x v="77"/>
    <s v="REGIONAL DE LOGÍSTICA SUPORTE REGIONAL"/>
    <s v="Líder_Imed_078"/>
    <s v="Concluído"/>
    <n v="7"/>
    <s v="33%"/>
    <s v="Cursando"/>
    <n v="98"/>
    <n v="32"/>
  </r>
  <r>
    <s v="Colaborador_079"/>
    <s v="ASSISTENTE DE OP LOGISTICA II"/>
    <s v="ASSISTENTE"/>
    <s v="MAT_079"/>
    <s v="Unidade_079"/>
    <s v="MINAS GERAIS"/>
    <x v="0"/>
    <x v="78"/>
    <s v="ALMOXARIFADO DE PRODUTO ACABADO"/>
    <s v="Líder_Imed_079"/>
    <s v="Concluído"/>
    <n v="9"/>
    <s v="100%"/>
    <s v="Concluído"/>
    <n v="86"/>
    <n v="86"/>
  </r>
  <r>
    <s v="Colaborador_080"/>
    <s v="ANALISTA DE PLANEJ LOGIST II"/>
    <s v="PROFISSIONAIS_II"/>
    <s v="MAT_080"/>
    <s v="Unidade_080"/>
    <s v="CEARA"/>
    <x v="1"/>
    <x v="79"/>
    <s v="MELHORIA CONTÍNUA"/>
    <s v="Líder_Imed_080"/>
    <s v="Concluído"/>
    <n v="8"/>
    <s v="87%"/>
    <s v="Cursando"/>
    <n v="93"/>
    <n v="81"/>
  </r>
  <r>
    <s v="Colaborador_081"/>
    <s v="COORDENADOR DE PLANEJAMENTO LOGISTI"/>
    <s v="COORDENADOR"/>
    <s v="MAT_081"/>
    <s v="Unidade_081"/>
    <s v="CEARA"/>
    <x v="1"/>
    <x v="80"/>
    <s v="DEMANDA"/>
    <s v="Líder_Imed_081"/>
    <s v="Concluído"/>
    <n v="7"/>
    <s v="79%"/>
    <s v="Cursando"/>
    <n v="84"/>
    <n v="66"/>
  </r>
  <r>
    <s v="Colaborador_082"/>
    <s v="ANALISTA DE PLANEJ LOGIST I"/>
    <s v="PROFISSIONAIS_I"/>
    <s v="MAT_082"/>
    <s v="Unidade_082"/>
    <s v="PERNAMBUCO"/>
    <x v="1"/>
    <x v="81"/>
    <s v="SUPPLY CHAIN"/>
    <s v="Líder_Imed_082"/>
    <s v="Concluído"/>
    <n v="7"/>
    <s v="28%"/>
    <s v="Cursando"/>
    <n v="78"/>
    <n v="22"/>
  </r>
  <r>
    <s v="Colaborador_083"/>
    <s v="SUPERVISOR DE LOGISTICA"/>
    <s v="SUPERVISOR"/>
    <s v="MAT_083"/>
    <s v="Unidade_083"/>
    <s v="CEARA"/>
    <x v="0"/>
    <x v="82"/>
    <s v="CENTRAL DE ROTEIRIZAÇÃO"/>
    <s v="Líder_Imed_083"/>
    <s v="Concluído"/>
    <n v="7"/>
    <s v="100%"/>
    <s v="Concluído"/>
    <n v="66"/>
    <n v="66"/>
  </r>
  <r>
    <s v="Colaborador_084"/>
    <s v="GERENTE REGIONAL DE LOGISTICA"/>
    <s v="GERENTE"/>
    <s v="MAT_084"/>
    <s v="Unidade_084"/>
    <s v="CEARA"/>
    <x v="0"/>
    <x v="83"/>
    <s v="DISTRIBUIÇÃO"/>
    <s v="Líder_Imed_084"/>
    <s v="Concluído"/>
    <n v="5"/>
    <s v="100%"/>
    <s v="Concluído"/>
    <n v="62"/>
    <n v="62"/>
  </r>
  <r>
    <s v="Colaborador_085"/>
    <s v="ASSISTENTE ADMINISTRATIVO"/>
    <s v="ASSISTENTE"/>
    <s v="MAT_085"/>
    <s v="Unidade_085"/>
    <s v="PERNAMBUCO"/>
    <x v="0"/>
    <x v="84"/>
    <s v="ALMOXARIFADO DE MATÉRIA-PRIMA"/>
    <s v="Líder_Imed_085"/>
    <s v="Concluído"/>
    <n v="7"/>
    <s v="100%"/>
    <s v="Concluído"/>
    <n v="50"/>
    <n v="50"/>
  </r>
  <r>
    <s v="Colaborador_086"/>
    <s v="ASSISTENTE ADMINISTRATIVO"/>
    <s v="ASSISTENTE"/>
    <s v="MAT_086"/>
    <s v="Unidade_086"/>
    <s v="PERNAMBUCO"/>
    <x v="0"/>
    <x v="85"/>
    <s v="REGIONAL DE LOGÍSTICA SUPORTE REGIONAL"/>
    <s v="Líder_Imed_086"/>
    <s v="Concluído"/>
    <n v="9"/>
    <s v="32%"/>
    <s v="Cursando"/>
    <n v="106"/>
    <n v="34"/>
  </r>
  <r>
    <s v="Colaborador_087"/>
    <s v="ESPECIALISTA DE LOGISTICA"/>
    <s v="ESPECIALISTA"/>
    <s v="MAT_087"/>
    <s v="Unidade_087"/>
    <s v="SAO PAULO"/>
    <x v="0"/>
    <x v="86"/>
    <s v="DISTRIBUIÇÃO"/>
    <s v="Líder_Imed_087"/>
    <s v="Concluído"/>
    <n v="7"/>
    <s v="100%"/>
    <s v="Concluído"/>
    <n v="66"/>
    <n v="66"/>
  </r>
  <r>
    <s v="Colaborador_088"/>
    <s v="ANALISTA DE PCP PL"/>
    <s v="PROFISSIONAIS_II"/>
    <s v="MAT_088"/>
    <s v="Unidade_088"/>
    <s v="JASMINE"/>
    <x v="1"/>
    <x v="87"/>
    <s v="GERÊNCIA INDUSTRIAL JASMINE"/>
    <s v="Líder_Imed_088"/>
    <s v="Concluído"/>
    <n v="7"/>
    <s v="100%"/>
    <s v="Concluído"/>
    <n v="58"/>
    <n v="58"/>
  </r>
  <r>
    <s v="Colaborador_089"/>
    <s v="COORDENADOR DE LOGISTICA"/>
    <s v="COORDENADOR"/>
    <s v="MAT_089"/>
    <s v="Unidade_089"/>
    <s v="CEARA"/>
    <x v="0"/>
    <x v="88"/>
    <s v="TRANSP DISTRIBUIÇÃO - DENTRO DO ESTADO"/>
    <s v="Líder_Imed_089"/>
    <s v="Concluído"/>
    <n v="5"/>
    <s v="83%"/>
    <s v="Cursando"/>
    <n v="98"/>
    <n v="81"/>
  </r>
  <r>
    <s v="Colaborador_090"/>
    <s v="ANALISTA DE LOGISTICA III"/>
    <s v="PROFISSIONAIS_III"/>
    <s v="MAT_090"/>
    <s v="Unidade_090"/>
    <s v="CEARA"/>
    <x v="4"/>
    <x v="89"/>
    <s v="CUSTOS LOGÍSTICOS E ORÇAMENTO CORP"/>
    <s v="Líder_Imed_090"/>
    <s v="Concluído"/>
    <n v="18"/>
    <s v="6%"/>
    <s v="Cursando"/>
    <n v="72"/>
    <n v="4"/>
  </r>
  <r>
    <s v="Colaborador_091"/>
    <s v="ASSISTENTE DE OP LOGISTICA II"/>
    <s v="ASSISTENTE"/>
    <s v="MAT_091"/>
    <s v="Unidade_091"/>
    <s v="CEARA"/>
    <x v="0"/>
    <x v="90"/>
    <s v="TRANSP DIST FARINHA - DENTRO DO ESTADO"/>
    <s v="Líder_Imed_091"/>
    <s v="Concluído"/>
    <n v="9"/>
    <s v="20%"/>
    <s v="Cursando"/>
    <n v="70"/>
    <n v="14"/>
  </r>
  <r>
    <s v="Colaborador_092"/>
    <s v="ASSISTENTE DE CUSTOMER SERVICE"/>
    <s v="ASSISTENTE_ESPECIFICO"/>
    <s v="MAT_092"/>
    <s v="Unidade_092"/>
    <s v="CEARA"/>
    <x v="2"/>
    <x v="91"/>
    <s v="CUSTOMER SERVICE INTERNO"/>
    <s v="Líder_Imed_092"/>
    <s v="Concluído"/>
    <n v="7"/>
    <s v="14%"/>
    <s v="Cursando"/>
    <n v="64"/>
    <n v="9"/>
  </r>
  <r>
    <s v="Colaborador_093"/>
    <s v="ASSISTENTE DE OP LOGISTICA II"/>
    <s v="ASSISTENTE"/>
    <s v="MAT_093"/>
    <s v="Unidade_093"/>
    <s v="CEARA"/>
    <x v="1"/>
    <x v="92"/>
    <s v="PLANEJAMENTO DE PRODUÇÃO E ABASTECIMENTO"/>
    <s v="Líder_Imed_093"/>
    <s v="Concluído"/>
    <n v="7"/>
    <s v="76%"/>
    <s v="Cursando"/>
    <n v="58"/>
    <n v="44"/>
  </r>
  <r>
    <s v="Colaborador_094"/>
    <s v="ANALISTA DE LOGISTICA I"/>
    <s v="PROFISSIONAIS_I"/>
    <s v="MAT_094"/>
    <s v="Unidade_094"/>
    <s v="CEARA"/>
    <x v="0"/>
    <x v="93"/>
    <s v="GESTÃO DA PERFORMANCE"/>
    <s v="Líder_Imed_094"/>
    <s v="Concluído"/>
    <n v="9"/>
    <s v="69%"/>
    <s v="Cursando"/>
    <n v="114"/>
    <n v="79"/>
  </r>
  <r>
    <s v="Colaborador_095"/>
    <s v="ASSISTENTE DE OP LOGISTICA I"/>
    <s v="ASSISTENTE"/>
    <s v="MAT_095"/>
    <s v="Unidade_095"/>
    <s v="CEARA"/>
    <x v="0"/>
    <x v="94"/>
    <s v="CENTRAL DE PAGAMENTOS"/>
    <s v="Líder_Imed_095"/>
    <s v="Concluído"/>
    <n v="7"/>
    <s v="29%"/>
    <s v="Cursando"/>
    <n v="72"/>
    <n v="21"/>
  </r>
  <r>
    <s v="Colaborador_096"/>
    <s v="GERENTE DE LOGISTICA"/>
    <s v="GERENTE"/>
    <s v="MAT_096"/>
    <s v="Unidade_096"/>
    <s v="PERNAMBUCO"/>
    <x v="0"/>
    <x v="95"/>
    <s v="REGIONAL DE LOGÍSTICA SUPORTE REGIONAL"/>
    <s v="Líder_Imed_096"/>
    <s v="Concluído"/>
    <n v="7"/>
    <s v="37%"/>
    <s v="Cursando"/>
    <n v="82"/>
    <n v="30"/>
  </r>
  <r>
    <s v="Colaborador_097"/>
    <s v="COORDENADOR DE PLANEJAMENTO LOGISTI"/>
    <s v="COORDENADOR"/>
    <s v="MAT_097"/>
    <s v="Unidade_097"/>
    <s v="CEARA"/>
    <x v="0"/>
    <x v="96"/>
    <s v="GESTÃO DE TRANSPORTES"/>
    <s v="Líder_Imed_097"/>
    <s v="Concluído"/>
    <n v="7"/>
    <s v="100%"/>
    <s v="Concluído"/>
    <n v="82"/>
    <n v="82"/>
  </r>
  <r>
    <s v="Colaborador_098"/>
    <s v="ANALISTA DE PLANEJ LOGIST I"/>
    <s v="PROFISSIONAIS_I"/>
    <s v="MAT_098"/>
    <s v="Unidade_098"/>
    <s v="CEARA"/>
    <x v="1"/>
    <x v="97"/>
    <s v="PLANEJAMENTO DE PRODUÇÃO E ABASTECIMENTO"/>
    <s v="Líder_Imed_098"/>
    <s v="Concluído"/>
    <n v="7"/>
    <s v="64%"/>
    <s v="Cursando"/>
    <n v="78"/>
    <n v="50"/>
  </r>
  <r>
    <s v="Colaborador_099"/>
    <s v="ASSISTENTE DE OP LOGISTICA II"/>
    <s v="ASSISTENTE"/>
    <s v="MAT_099"/>
    <s v="Unidade_099"/>
    <s v="CEARA"/>
    <x v="0"/>
    <x v="98"/>
    <s v="ALMOXARIFADO DE PRODUTO ACABADO"/>
    <s v="Líder_Imed_099"/>
    <s v="Concluído"/>
    <n v="7"/>
    <s v="100%"/>
    <s v="Concluído"/>
    <n v="62"/>
    <n v="62"/>
  </r>
  <r>
    <s v="Colaborador_100"/>
    <s v="ASSISTENTE DE OP LOGISTICA I"/>
    <s v="ASSISTENTE"/>
    <s v="MAT_100"/>
    <s v="Unidade_100"/>
    <s v="CEARA"/>
    <x v="0"/>
    <x v="99"/>
    <s v="CENTRAL DE DEVOLUÇÕES"/>
    <s v="Líder_Imed_100"/>
    <s v="Concluído"/>
    <n v="9"/>
    <s v="6%"/>
    <s v="Cursando"/>
    <n v="94"/>
    <n v="6"/>
  </r>
  <r>
    <s v="Colaborador_101"/>
    <s v="ANALISTA DE LOGISTICA II"/>
    <s v="PROFISSIONAIS_II"/>
    <s v="MAT_101"/>
    <s v="Unidade_101"/>
    <s v="CEARA"/>
    <x v="0"/>
    <x v="100"/>
    <s v="CENTRAL DE MONITORAMENTO"/>
    <s v="Líder_Imed_101"/>
    <s v="Concluído"/>
    <n v="7"/>
    <s v="68%"/>
    <s v="Cursando"/>
    <n v="66"/>
    <n v="45"/>
  </r>
  <r>
    <s v="Colaborador_102"/>
    <s v="ANALISTA DE PCP SR"/>
    <s v="PROFISSIONAIS_III"/>
    <s v="MAT_102"/>
    <s v="Unidade_102"/>
    <s v="JASMINE"/>
    <x v="1"/>
    <x v="101"/>
    <s v="GERÊNCIA INDUSTRIAL JASMINE"/>
    <s v="Líder_Imed_102"/>
    <s v="Concluído"/>
    <n v="7"/>
    <s v="100%"/>
    <s v="Concluído"/>
    <n v="58"/>
    <n v="58"/>
  </r>
  <r>
    <s v="Colaborador_103"/>
    <s v="ASSISTENTE ADMINISTRATIVO"/>
    <s v="ASSISTENTE"/>
    <s v="MAT_103"/>
    <s v="Unidade_103"/>
    <s v="PERNAMBUCO"/>
    <x v="0"/>
    <x v="102"/>
    <s v="TRANSP DISTRIBUIÇÃO - DENTRO DO ESTADO"/>
    <s v="Líder_Imed_103"/>
    <s v="Concluído"/>
    <n v="9"/>
    <s v="100%"/>
    <s v="Concluído"/>
    <n v="84"/>
    <n v="84"/>
  </r>
  <r>
    <s v="Colaborador_104"/>
    <s v="ASSISTENTE ADMINISTRATIVO"/>
    <s v="ASSISTENTE"/>
    <s v="MAT_104"/>
    <s v="Unidade_104"/>
    <s v="PERNAMBUCO"/>
    <x v="0"/>
    <x v="103"/>
    <s v="RECEBIMENTO BALANÇA"/>
    <s v="Líder_Imed_104"/>
    <s v="Concluído"/>
    <n v="9"/>
    <s v="100%"/>
    <s v="Concluído"/>
    <n v="120"/>
    <n v="120"/>
  </r>
  <r>
    <s v="Colaborador_105"/>
    <s v="ANALISTA DE LOGISTICA I"/>
    <s v="PROFISSIONAIS_I"/>
    <s v="MAT_105"/>
    <s v="Unidade_105"/>
    <s v="RIO GRANDE DO SUL"/>
    <x v="0"/>
    <x v="104"/>
    <s v="REGIONAL DE LOGÍSTICA SUPORTE REGIONAL"/>
    <s v="Líder_Imed_105"/>
    <s v="Concluído"/>
    <n v="0"/>
    <s v="100%"/>
    <s v="Concluído"/>
    <n v="92"/>
    <n v="92"/>
  </r>
  <r>
    <s v="Colaborador_106"/>
    <s v="COORDENADOR DE LOGISTICA"/>
    <s v="COORDENADOR"/>
    <s v="MAT_106"/>
    <s v="Unidade_106"/>
    <s v="RIO GRANDE DO NORTE"/>
    <x v="0"/>
    <x v="105"/>
    <s v="TRANSP DISTRIBUIÇÃO - DENTRO DO ESTADO"/>
    <s v="Líder_Imed_106"/>
    <s v="Concluído"/>
    <n v="7"/>
    <s v="9%"/>
    <s v="Cursando"/>
    <n v="98"/>
    <n v="9"/>
  </r>
  <r>
    <s v="Colaborador_107"/>
    <s v="ASSISTENTE DE OP LOGISTICA II"/>
    <s v="ASSISTENTE"/>
    <s v="MAT_107"/>
    <s v="Unidade_107"/>
    <s v="ESPIRITO SANTO"/>
    <x v="0"/>
    <x v="106"/>
    <s v="ALMOXARIFADO DE PRODUTO ACABADO"/>
    <s v="Líder_Imed_107"/>
    <s v="Concluído"/>
    <n v="9"/>
    <s v="100%"/>
    <s v="Concluído"/>
    <n v="110"/>
    <n v="110"/>
  </r>
  <r>
    <s v="Colaborador_108"/>
    <s v="GERENTE DE PLANEJ LOGISTICO"/>
    <s v="GERENTE"/>
    <s v="MAT_108"/>
    <s v="Unidade_108"/>
    <s v="CEARA"/>
    <x v="0"/>
    <x v="107"/>
    <s v="GESTÃO DE TRANSPORTES"/>
    <s v="Líder_Imed_108"/>
    <s v="Concluído"/>
    <n v="6"/>
    <s v="55%"/>
    <s v="Cursando"/>
    <n v="65"/>
    <n v="36"/>
  </r>
  <r>
    <s v="Colaborador_109"/>
    <s v="ASSISTENTE DE OP LOGISTICA III"/>
    <s v="ASSISTENTE"/>
    <s v="MAT_109"/>
    <s v="Unidade_109"/>
    <s v="RIO DE JANEIRO"/>
    <x v="0"/>
    <x v="108"/>
    <s v="DISTRIBUIÇÃO"/>
    <s v="Líder_Imed_109"/>
    <s v="Concluído"/>
    <n v="7"/>
    <s v="100%"/>
    <s v="Concluído"/>
    <n v="74"/>
    <n v="74"/>
  </r>
  <r>
    <s v="Colaborador_110"/>
    <s v="ASSISTENTE DE OP LOGISTICA II"/>
    <s v="ASSISTENTE"/>
    <s v="MAT_110"/>
    <s v="Unidade_110"/>
    <s v="CEARA"/>
    <x v="0"/>
    <x v="109"/>
    <s v="FATURAMENTO"/>
    <s v="Líder_Imed_110"/>
    <s v="Concluído"/>
    <n v="7"/>
    <s v="100%"/>
    <s v="Concluído"/>
    <n v="58"/>
    <n v="58"/>
  </r>
  <r>
    <s v="Colaborador_111"/>
    <s v="COORDENADOR DE LOGISTICA"/>
    <s v="COORDENADOR"/>
    <s v="MAT_111"/>
    <s v="Unidade_111"/>
    <s v="ALAGOAS"/>
    <x v="0"/>
    <x v="110"/>
    <s v="ALMOXARIFADO DE PRODUTO ACABADO"/>
    <s v="Líder_Imed_111"/>
    <s v="Concluído"/>
    <n v="7"/>
    <s v="100%"/>
    <s v="Concluído"/>
    <n v="99"/>
    <n v="99"/>
  </r>
  <r>
    <s v="Colaborador_112"/>
    <s v="COORDENADOR DE LOGISTICA"/>
    <s v="COORDENADOR"/>
    <s v="MAT_112"/>
    <s v="Unidade_112"/>
    <s v="PIAUI"/>
    <x v="0"/>
    <x v="111"/>
    <s v="REGIONAL DE LOGÍSTICA SUPORTE REGIONAL"/>
    <s v="Líder_Imed_112"/>
    <s v="Concluído"/>
    <n v="7"/>
    <s v="100%"/>
    <s v="Concluído"/>
    <n v="66"/>
    <n v="66"/>
  </r>
  <r>
    <s v="Colaborador_113"/>
    <s v="COORDENADOR DE LOGISTICA"/>
    <s v="COORDENADOR"/>
    <s v="MAT_113"/>
    <s v="Unidade_113"/>
    <s v="RIO GRANDE DO SUL"/>
    <x v="0"/>
    <x v="112"/>
    <s v="REGIONAL DE LOGÍSTICA SUPORTE REGIONAL"/>
    <s v="Líder_Imed_113"/>
    <s v="Concluído"/>
    <n v="7"/>
    <s v="48%"/>
    <s v="Cursando"/>
    <n v="84"/>
    <n v="40"/>
  </r>
  <r>
    <s v="Colaborador_114"/>
    <s v="ANALISTA DE LOGISTICA I"/>
    <s v="PROFISSIONAIS_I"/>
    <s v="MAT_114"/>
    <s v="Unidade_114"/>
    <s v="SAO PAULO"/>
    <x v="0"/>
    <x v="113"/>
    <s v="DISTRIBUIÇÃO"/>
    <s v="Líder_Imed_114"/>
    <s v="Concluído"/>
    <n v="7"/>
    <s v="91%"/>
    <s v="Cursando"/>
    <n v="82"/>
    <n v="75"/>
  </r>
  <r>
    <s v="Colaborador_115"/>
    <s v="ASSISTENTE DE OP LOGISTICA III"/>
    <s v="ASSISTENTE"/>
    <s v="MAT_115"/>
    <s v="Unidade_115"/>
    <s v="SAO PAULO"/>
    <x v="0"/>
    <x v="114"/>
    <s v="DISTRIBUIÇÃO"/>
    <s v="Líder_Imed_115"/>
    <s v="Concluído"/>
    <n v="7"/>
    <s v="100%"/>
    <s v="Concluído"/>
    <n v="98"/>
    <n v="98"/>
  </r>
  <r>
    <s v="Colaborador_116"/>
    <s v="ASSISTENTE ADMINISTRATIVO"/>
    <s v="ASSISTENTE"/>
    <s v="MAT_116"/>
    <s v="Unidade_116"/>
    <s v="RIO GRANDE DO SUL"/>
    <x v="0"/>
    <x v="115"/>
    <s v="FATURAMENTO"/>
    <s v="Líder_Imed_116"/>
    <s v="Concluído"/>
    <n v="7"/>
    <s v="38%"/>
    <s v="Cursando"/>
    <n v="58"/>
    <n v="22"/>
  </r>
  <r>
    <s v="Colaborador_117"/>
    <s v="ASSISTENTE ADMINISTRATIVO"/>
    <s v="ASSISTENTE"/>
    <s v="MAT_117"/>
    <s v="Unidade_117"/>
    <s v="PERNAMBUCO"/>
    <x v="0"/>
    <x v="116"/>
    <s v="CUSTOS LOGÍSTICOS E ORÇAMENTO"/>
    <s v="Líder_Imed_117"/>
    <s v="Concluído"/>
    <n v="9"/>
    <s v="56%"/>
    <s v="Cursando"/>
    <n v="120"/>
    <n v="67"/>
  </r>
  <r>
    <s v="Colaborador_118"/>
    <s v="COORDENADOR DE LOGISTICA"/>
    <s v="COORDENADOR"/>
    <s v="MAT_118"/>
    <s v="Unidade_118"/>
    <s v="PERNAMBUCO"/>
    <x v="0"/>
    <x v="117"/>
    <s v="CUSTOS LOGÍSTICOS E ORÇAMENTO"/>
    <s v="Líder_Imed_118"/>
    <s v="Concluído"/>
    <n v="7"/>
    <s v="100%"/>
    <s v="Concluído"/>
    <n v="66"/>
    <n v="66"/>
  </r>
  <r>
    <s v="Colaborador_119"/>
    <s v="COORDENADOR DE CUSTOMER SERVICE"/>
    <s v="COORDENADOR"/>
    <s v="MAT_119"/>
    <s v="Unidade_119"/>
    <s v="SAO PAULO"/>
    <x v="2"/>
    <x v="118"/>
    <s v="CUSTOMER SERVICE INTERNO"/>
    <s v="Líder_Imed_119"/>
    <s v="Concluído"/>
    <n v="7"/>
    <s v="100%"/>
    <s v="Concluído"/>
    <n v="52"/>
    <n v="52"/>
  </r>
  <r>
    <s v="Colaborador_120"/>
    <s v="SUPERVISOR DE LOGISTICA"/>
    <s v="SUPERVISOR"/>
    <s v="MAT_120"/>
    <s v="Unidade_120"/>
    <s v="CEARA"/>
    <x v="0"/>
    <x v="119"/>
    <s v="ALMOXARIFADO GERAL"/>
    <s v="Líder_Imed_120"/>
    <s v="Concluído"/>
    <n v="7"/>
    <s v="31%"/>
    <s v="Cursando"/>
    <n v="84"/>
    <n v="26"/>
  </r>
  <r>
    <s v="Colaborador_121"/>
    <s v="ANALISTA DE LOGISTICA I"/>
    <s v="PROFISSIONAIS_I"/>
    <s v="MAT_121"/>
    <s v="Unidade_121"/>
    <s v="BAHIA"/>
    <x v="0"/>
    <x v="120"/>
    <s v="ALMOXARIFADO DE PRODUTO ACABADO"/>
    <s v="Líder_Imed_121"/>
    <s v="Concluído"/>
    <n v="9"/>
    <s v="100%"/>
    <s v="Concluído"/>
    <n v="70"/>
    <n v="70"/>
  </r>
  <r>
    <s v="Colaborador_122"/>
    <s v="ASSISTENTE DE OPERAÇÕES LOGÍSTICAS II"/>
    <s v="ASSISTENTE"/>
    <s v="MAT_122"/>
    <s v="Unidade_122"/>
    <s v="JASMINE"/>
    <x v="0"/>
    <x v="121"/>
    <s v="LOGISTICA EXPEDIÇÃO CGS"/>
    <s v="Líder_Imed_122"/>
    <s v="Concluído"/>
    <n v="9"/>
    <s v="40%"/>
    <s v="Cursando"/>
    <n v="78"/>
    <n v="31"/>
  </r>
  <r>
    <s v="Colaborador_123"/>
    <s v="ASSISTENTE DE OP LOGISTICA II"/>
    <s v="ASSISTENTE"/>
    <s v="MAT_123"/>
    <s v="Unidade_123"/>
    <s v="CEARA"/>
    <x v="0"/>
    <x v="122"/>
    <s v="DISTRIBUIÇÃO"/>
    <s v="Líder_Imed_123"/>
    <s v="Concluído"/>
    <n v="9"/>
    <s v="63%"/>
    <s v="Cursando"/>
    <n v="120"/>
    <n v="75"/>
  </r>
  <r>
    <s v="Colaborador_124"/>
    <s v="ASSISTENTE DE OP LOGISTICA II"/>
    <s v="ASSISTENTE"/>
    <s v="MAT_124"/>
    <s v="Unidade_124"/>
    <s v="CEARA"/>
    <x v="0"/>
    <x v="123"/>
    <s v="FATURAMENTO"/>
    <s v="Líder_Imed_124"/>
    <s v="Concluído"/>
    <n v="7"/>
    <s v="100%"/>
    <s v="Concluído"/>
    <n v="58"/>
    <n v="58"/>
  </r>
  <r>
    <s v="Colaborador_125"/>
    <s v="ANALISTA DE LOGISTICA II"/>
    <s v="PROFISSIONAIS_II"/>
    <s v="MAT_125"/>
    <s v="Unidade_125"/>
    <s v="CEARA"/>
    <x v="0"/>
    <x v="124"/>
    <s v="GESTÃO DE TRANSPORTES"/>
    <s v="Líder_Imed_125"/>
    <s v="Concluído"/>
    <n v="7"/>
    <s v="100%"/>
    <s v="Concluído"/>
    <n v="118"/>
    <n v="118"/>
  </r>
  <r>
    <s v="Colaborador_126"/>
    <s v="SUPERVISOR DE LOGISTICA"/>
    <s v="SUPERVISOR"/>
    <s v="MAT_126"/>
    <s v="Unidade_126"/>
    <s v="RIO DE JANEIRO"/>
    <x v="0"/>
    <x v="125"/>
    <s v="ALMOXARIFADO DE PRODUTO ACABADO"/>
    <s v="Líder_Imed_126"/>
    <s v="Concluído"/>
    <n v="7"/>
    <s v="100%"/>
    <s v="Concluído"/>
    <n v="100"/>
    <n v="100"/>
  </r>
  <r>
    <s v="Colaborador_127"/>
    <s v="ASSISTENTE DE OP LOGISTICA I"/>
    <s v="ASSISTENTE"/>
    <s v="MAT_127"/>
    <s v="Unidade_127"/>
    <s v="BAHIA"/>
    <x v="0"/>
    <x v="126"/>
    <s v="ALMOXARIFADO DE PRODUTO ACABADO"/>
    <s v="Líder_Imed_127"/>
    <s v="Concluído"/>
    <n v="9"/>
    <s v="100%"/>
    <s v="Concluído"/>
    <n v="87"/>
    <n v="87"/>
  </r>
  <r>
    <s v="Colaborador_128"/>
    <s v="ASSISTENTE DE CUSTOMER SERVICE"/>
    <s v="ASSISTENTE_ESPECIFICO"/>
    <s v="MAT_128"/>
    <s v="Unidade_128"/>
    <s v="SAO PAULO"/>
    <x v="2"/>
    <x v="127"/>
    <s v="CUSTOMER SERVICE INTERNO"/>
    <s v="Líder_Imed_128"/>
    <s v="Concluído"/>
    <n v="7"/>
    <s v="38%"/>
    <s v="Cursando"/>
    <n v="58"/>
    <n v="22"/>
  </r>
  <r>
    <s v="Colaborador_129"/>
    <s v="ANALISTA DE PLANEJ LOGIST I"/>
    <s v="PROFISSIONAIS_I"/>
    <s v="MAT_129"/>
    <s v="Unidade_129"/>
    <s v="CEARA"/>
    <x v="0"/>
    <x v="128"/>
    <s v="GESTÃO DE TRANSPORTES"/>
    <s v="Líder_Imed_129"/>
    <s v="Concluído"/>
    <n v="9"/>
    <s v="34%"/>
    <s v="Cursando"/>
    <n v="86"/>
    <n v="29"/>
  </r>
  <r>
    <s v="Colaborador_130"/>
    <s v="ASSISTENTE DE OP LOGISTICA II"/>
    <s v="ASSISTENTE"/>
    <s v="MAT_130"/>
    <s v="Unidade_130"/>
    <s v="CEARA"/>
    <x v="0"/>
    <x v="129"/>
    <s v="FATURAMENTO"/>
    <s v="Líder_Imed_130"/>
    <s v="Concluído"/>
    <n v="7"/>
    <s v="42%"/>
    <s v="Cursando"/>
    <n v="64"/>
    <n v="27"/>
  </r>
  <r>
    <s v="Colaborador_131"/>
    <s v="SUPERVISOR DE LOGISTICA"/>
    <s v="SUPERVISOR"/>
    <s v="MAT_131"/>
    <s v="Unidade_131"/>
    <s v="PERNAMBUCO"/>
    <x v="0"/>
    <x v="130"/>
    <s v="ALMOXARIFADO DE PRODUTO ACABADO SUPORTE"/>
    <s v="Líder_Imed_131"/>
    <s v="Concluído"/>
    <n v="0"/>
    <s v="50%"/>
    <s v="Cursando"/>
    <n v="84"/>
    <n v="42"/>
  </r>
  <r>
    <s v="Colaborador_132"/>
    <s v="ASSISTENTE ADMINISTRATIVO"/>
    <s v="ASSISTENTE"/>
    <s v="MAT_132"/>
    <s v="Unidade_132"/>
    <s v="PERNAMBUCO"/>
    <x v="0"/>
    <x v="131"/>
    <s v="TRANSP DISTRIBUIÇÃO - DENTRO DO ESTADO"/>
    <s v="Líder_Imed_132"/>
    <s v="Concluído"/>
    <n v="7"/>
    <s v="100%"/>
    <s v="Concluído"/>
    <n v="50"/>
    <n v="50"/>
  </r>
  <r>
    <s v="Colaborador_133"/>
    <s v="ASSISTENTE DE OP LOGISTICA I"/>
    <s v="ASSISTENTE"/>
    <s v="MAT_133"/>
    <s v="Unidade_133"/>
    <s v="BAHIA"/>
    <x v="0"/>
    <x v="132"/>
    <s v="TRANSP DISTRIBUIÇÃO - DENTRO DO ESTADO"/>
    <s v="Líder_Imed_133"/>
    <s v="Concluído"/>
    <n v="9"/>
    <s v="63%"/>
    <s v="Cursando"/>
    <n v="70"/>
    <n v="44"/>
  </r>
  <r>
    <s v="Colaborador_134"/>
    <s v="ANALISTA DE PLANEJ LOGIST II"/>
    <s v="PROFISSIONAIS_II"/>
    <s v="MAT_134"/>
    <s v="Unidade_134"/>
    <s v="SAO PAULO"/>
    <x v="1"/>
    <x v="133"/>
    <s v="SUPPLY CHAIN"/>
    <s v="Líder_Imed_134"/>
    <s v="Concluído"/>
    <n v="7"/>
    <s v="100%"/>
    <s v="Concluído"/>
    <n v="78"/>
    <n v="78"/>
  </r>
  <r>
    <s v="Colaborador_135"/>
    <s v="ASSISTENTE DE OP LOGISTICA I"/>
    <s v="ASSISTENTE"/>
    <s v="MAT_135"/>
    <s v="Unidade_135"/>
    <s v="BAHIA"/>
    <x v="0"/>
    <x v="134"/>
    <s v="GESTÃO DE TRANSPORTES"/>
    <s v="Líder_Imed_135"/>
    <s v="Concluído"/>
    <n v="7"/>
    <s v="100%"/>
    <s v="Concluído"/>
    <n v="66"/>
    <n v="66"/>
  </r>
  <r>
    <s v="Colaborador_136"/>
    <s v="ASSISTENTE ADMINISTRATIVO I"/>
    <s v="ASSISTENTE"/>
    <s v="MAT_136"/>
    <s v="Unidade_136"/>
    <s v="BAHIA"/>
    <x v="0"/>
    <x v="135"/>
    <s v="CUSTOS LOGÍSTICOS E ORÇAMENTO"/>
    <s v="Líder_Imed_136"/>
    <s v="Concluído"/>
    <n v="9"/>
    <s v="40%"/>
    <s v="Cursando"/>
    <n v="78"/>
    <n v="31"/>
  </r>
  <r>
    <s v="Colaborador_137"/>
    <s v="COORDENADOR DE LOGISTICA"/>
    <s v="COORDENADOR"/>
    <s v="MAT_137"/>
    <s v="Unidade_137"/>
    <s v="SAO PAULO"/>
    <x v="0"/>
    <x v="136"/>
    <s v="ALMOXARIFADO DE PRODUTO ACABADO"/>
    <s v="Líder_Imed_137"/>
    <s v="Concluído"/>
    <n v="7"/>
    <s v="100%"/>
    <s v="Concluído"/>
    <n v="98"/>
    <n v="98"/>
  </r>
  <r>
    <s v="Colaborador_138"/>
    <s v="ASSISTENTE DE OP LOGISTICA I"/>
    <s v="ASSISTENTE"/>
    <s v="MAT_138"/>
    <s v="Unidade_138"/>
    <s v="MARANHAO"/>
    <x v="0"/>
    <x v="137"/>
    <s v="TRANSP DISTRIBUIÇÃO - DENTRO DO ESTADO"/>
    <s v="Líder_Imed_138"/>
    <s v="Concluído"/>
    <n v="9"/>
    <s v="93%"/>
    <s v="Cursando"/>
    <n v="117"/>
    <n v="109"/>
  </r>
  <r>
    <s v="Colaborador_139"/>
    <s v="ANALISTA DE CUSTOMER SERVICE III"/>
    <s v="PROFISSIONAIS_III"/>
    <s v="MAT_139"/>
    <s v="Unidade_139"/>
    <s v="SAO PAULO"/>
    <x v="2"/>
    <x v="138"/>
    <s v="CUSTOMER SERVICE EXTERNO"/>
    <s v="Líder_Imed_139"/>
    <s v="Concluído"/>
    <n v="9"/>
    <s v="100%"/>
    <s v="Concluído"/>
    <n v="80"/>
    <n v="80"/>
  </r>
  <r>
    <s v="Colaborador_140"/>
    <s v="ASSISTENTE DE OP LOGISTICA III"/>
    <s v="ASSISTENTE"/>
    <s v="MAT_140"/>
    <s v="Unidade_140"/>
    <s v="RIO DE JANEIRO"/>
    <x v="0"/>
    <x v="139"/>
    <s v="DISTRIBUIÇÃO"/>
    <s v="Líder_Imed_140"/>
    <s v="Concluído"/>
    <n v="9"/>
    <s v="100%"/>
    <s v="Concluído"/>
    <n v="94"/>
    <n v="94"/>
  </r>
  <r>
    <s v="Colaborador_141"/>
    <s v="ANALISTA DE LOGISTICA I"/>
    <s v="PROFISSIONAIS_I"/>
    <s v="MAT_141"/>
    <s v="Unidade_141"/>
    <s v="PARANA"/>
    <x v="0"/>
    <x v="140"/>
    <s v="REGIONAL DE LOGÍSTICA SUPORTE REGIONAL  "/>
    <s v="Líder_Imed_141"/>
    <s v="Concluído"/>
    <n v="7"/>
    <s v="100%"/>
    <s v="Concluído"/>
    <n v="104"/>
    <n v="104"/>
  </r>
  <r>
    <s v="Colaborador_142"/>
    <s v="ASSISTENTE DE OP LOGISTICA II"/>
    <s v="ASSISTENTE"/>
    <s v="MAT_142"/>
    <s v="Unidade_142"/>
    <s v="RIO GRANDE DO NORTE"/>
    <x v="0"/>
    <x v="141"/>
    <s v="FATURAMENTO"/>
    <s v="Líder_Imed_142"/>
    <s v="Concluído"/>
    <n v="9"/>
    <s v="100%"/>
    <s v="Concluído"/>
    <n v="106"/>
    <n v="106"/>
  </r>
  <r>
    <s v="Colaborador_143"/>
    <s v="ASSISTENTE DE OP LOGISTICA II"/>
    <s v="ASSISTENTE"/>
    <s v="MAT_143"/>
    <s v="Unidade_143"/>
    <s v="RIO GRANDE DO NORTE"/>
    <x v="0"/>
    <x v="142"/>
    <s v="FATURAMENTO"/>
    <s v="Líder_Imed_143"/>
    <s v="Concluído"/>
    <n v="9"/>
    <s v="100%"/>
    <s v="Concluído"/>
    <n v="106"/>
    <n v="106"/>
  </r>
  <r>
    <s v="Colaborador_144"/>
    <s v="ASSISTENTE DE OP LOGISTICA II"/>
    <s v="ASSISTENTE"/>
    <s v="MAT_144"/>
    <s v="Unidade_144"/>
    <s v="RIO GRANDE DO NORTE"/>
    <x v="0"/>
    <x v="143"/>
    <s v="FATURAMENTO"/>
    <s v="Líder_Imed_144"/>
    <s v="Concluído"/>
    <n v="9"/>
    <s v="100%"/>
    <s v="Concluído"/>
    <n v="94"/>
    <n v="94"/>
  </r>
  <r>
    <s v="Colaborador_145"/>
    <s v="ANALISTA DE PLANEJ LOGIST I"/>
    <s v="PROFISSIONAIS_I"/>
    <s v="MAT_145"/>
    <s v="Unidade_145"/>
    <s v="PERNAMBUCO"/>
    <x v="1"/>
    <x v="144"/>
    <s v="SUPPLY CHAIN"/>
    <s v="Líder_Imed_145"/>
    <s v="Concluído"/>
    <n v="7"/>
    <s v="100%"/>
    <s v="Concluído"/>
    <n v="62"/>
    <n v="62"/>
  </r>
  <r>
    <s v="Colaborador_146"/>
    <s v="ASSISTENTE ADMINISTRATIVO"/>
    <s v="ASSISTENTE"/>
    <s v="MAT_146"/>
    <s v="Unidade_146"/>
    <s v="PERNAMBUCO"/>
    <x v="0"/>
    <x v="145"/>
    <s v="TRANSP DISTRIBUIÇÃO - DENTRO DO ESTADO"/>
    <s v="Líder_Imed_146"/>
    <s v="Concluído"/>
    <n v="7"/>
    <s v="100%"/>
    <s v="Concluído"/>
    <n v="62"/>
    <n v="62"/>
  </r>
  <r>
    <s v="Colaborador_147"/>
    <s v="ANALISTA DE LOGISTICA II"/>
    <s v="PROFISSIONAIS_II"/>
    <s v="MAT_147"/>
    <s v="Unidade_147"/>
    <s v="CEARA"/>
    <x v="0"/>
    <x v="146"/>
    <s v="DISTRIBUIÇÃO"/>
    <s v="Líder_Imed_147"/>
    <s v="Concluído"/>
    <n v="9"/>
    <s v="100%"/>
    <s v="Concluído"/>
    <n v="114"/>
    <n v="114"/>
  </r>
  <r>
    <s v="Colaborador_148"/>
    <s v="ANALISTA DE LOGISTICA II"/>
    <s v="PROFISSIONAIS_II"/>
    <s v="MAT_148"/>
    <s v="Unidade_148"/>
    <s v="CEARA"/>
    <x v="0"/>
    <x v="147"/>
    <s v="ALMOXARIFADO DE PRODUTO ACABADO"/>
    <s v="Líder_Imed_148"/>
    <s v="Concluído"/>
    <n v="9"/>
    <s v="100%"/>
    <s v="Concluído"/>
    <n v="120"/>
    <n v="120"/>
  </r>
  <r>
    <s v="Colaborador_149"/>
    <s v="ESPECIALISTA DE LOGISTICA"/>
    <s v="ESPECIALISTA"/>
    <s v="MAT_149"/>
    <s v="Unidade_149"/>
    <s v="SAO PAULO"/>
    <x v="1"/>
    <x v="148"/>
    <s v="SUPPLY CHAIN"/>
    <s v="Líder_Imed_149"/>
    <s v="Concluído"/>
    <n v="5"/>
    <s v="100%"/>
    <s v="Concluído"/>
    <n v="62"/>
    <n v="62"/>
  </r>
  <r>
    <s v="Colaborador_150"/>
    <s v="SUPERVISOR DE LOGISTICA"/>
    <s v="SUPERVISOR"/>
    <s v="MAT_150"/>
    <s v="Unidade_150"/>
    <s v="CEARA"/>
    <x v="0"/>
    <x v="149"/>
    <s v="CENTRAL DE MONITORAMENTO"/>
    <s v="Líder_Imed_150"/>
    <s v="Concluído"/>
    <n v="7"/>
    <s v="72%"/>
    <s v="Cursando"/>
    <n v="82"/>
    <n v="59"/>
  </r>
  <r>
    <s v="Colaborador_151"/>
    <s v="ASSISTENTE DE OP LOGISTICA II"/>
    <s v="ASSISTENTE"/>
    <s v="MAT_151"/>
    <s v="Unidade_151"/>
    <s v="RIO GRANDE DO SUL"/>
    <x v="0"/>
    <x v="150"/>
    <s v="EXPEDIÇÃO VERTICALIZADAS"/>
    <s v="Líder_Imed_151"/>
    <s v="Concluído"/>
    <n v="9"/>
    <s v="94%"/>
    <s v="Cursando"/>
    <n v="84"/>
    <n v="79"/>
  </r>
  <r>
    <s v="Colaborador_152"/>
    <s v="ASSISTENTE DE OP LOGISTICA II"/>
    <s v="ASSISTENTE"/>
    <s v="MAT_152"/>
    <s v="Unidade_152"/>
    <s v="CEARA"/>
    <x v="0"/>
    <x v="151"/>
    <s v="CENTRAL DE PAGAMENTOS"/>
    <s v="Líder_Imed_152"/>
    <s v="Concluído"/>
    <n v="9"/>
    <s v="50%"/>
    <s v="Cursando"/>
    <n v="80"/>
    <n v="40"/>
  </r>
  <r>
    <s v="Colaborador_153"/>
    <s v="SUPERVISOR DE LOGISTICA"/>
    <s v="SUPERVISOR"/>
    <s v="MAT_153"/>
    <s v="Unidade_153"/>
    <s v="CEARA"/>
    <x v="0"/>
    <x v="152"/>
    <s v="ALMOXARIFADO DE PRODUTO ACABADO"/>
    <s v="Líder_Imed_153"/>
    <s v="Concluído"/>
    <n v="7"/>
    <s v="100%"/>
    <s v="Concluído"/>
    <n v="82"/>
    <n v="82"/>
  </r>
  <r>
    <s v="Colaborador_154"/>
    <s v="ASSISTENTE DE OP LOGISTICA III"/>
    <s v="ASSISTENTE"/>
    <s v="MAT_154"/>
    <s v="Unidade_154"/>
    <s v="CEARA"/>
    <x v="0"/>
    <x v="153"/>
    <s v="ALMOXARIFADO DE PRODUTO ACABADO"/>
    <s v="Líder_Imed_154"/>
    <s v="Concluído"/>
    <n v="7"/>
    <s v="100%"/>
    <s v="Concluído"/>
    <n v="50"/>
    <n v="50"/>
  </r>
  <r>
    <s v="Colaborador_155"/>
    <s v="SUPERVISOR EXPEDICAO"/>
    <s v="SUPERVISOR"/>
    <s v="MAT_155"/>
    <s v="Unidade_155"/>
    <s v="CEARA"/>
    <x v="0"/>
    <x v="154"/>
    <s v="EXPEDIÇÃO VERTICALIZADAS"/>
    <s v="Líder_Imed_155"/>
    <s v="Concluído"/>
    <n v="7"/>
    <s v="100%"/>
    <s v="Concluído"/>
    <n v="84"/>
    <n v="84"/>
  </r>
  <r>
    <s v="Colaborador_156"/>
    <s v="ANALISTA DE CUSTOMER SERVICE I"/>
    <s v="PROFISSIONAIS_I"/>
    <s v="MAT_156"/>
    <s v="Unidade_156"/>
    <s v="CEARA"/>
    <x v="2"/>
    <x v="155"/>
    <s v="CUSTOMER SERVICE INTERNO"/>
    <s v="Líder_Imed_156"/>
    <s v="Concluído"/>
    <n v="7"/>
    <s v="100%"/>
    <s v="Concluído"/>
    <n v="62"/>
    <n v="62"/>
  </r>
  <r>
    <s v="Colaborador_157"/>
    <s v="ASSISTENTE DE OP LOGISTICA I"/>
    <s v="ASSISTENTE"/>
    <s v="MAT_157"/>
    <s v="Unidade_157"/>
    <s v="CEARA"/>
    <x v="0"/>
    <x v="156"/>
    <s v="TRANSP DISTRIBUIÇÃO - DENTRO DO ESTADO"/>
    <s v="Líder_Imed_157"/>
    <s v="Concluído"/>
    <n v="9"/>
    <s v="100%"/>
    <s v="Concluído"/>
    <n v="84"/>
    <n v="84"/>
  </r>
  <r>
    <s v="Colaborador_158"/>
    <s v="SUPERVISOR DE LOGISTICA"/>
    <s v="SUPERVISOR"/>
    <s v="MAT_158"/>
    <s v="Unidade_158"/>
    <s v="CEARA"/>
    <x v="0"/>
    <x v="157"/>
    <s v="ALMOXARIFADO DE PRODUTO ACABADO"/>
    <s v="Líder_Imed_158"/>
    <s v="Concluído"/>
    <n v="7"/>
    <s v="28%"/>
    <s v="Cursando"/>
    <n v="78"/>
    <n v="22"/>
  </r>
  <r>
    <s v="Colaborador_159"/>
    <s v="SUPERVISOR EXPEDICAO"/>
    <s v="SUPERVISOR"/>
    <s v="MAT_159"/>
    <s v="Unidade_159"/>
    <s v="CEARA"/>
    <x v="0"/>
    <x v="158"/>
    <s v="EXPEDIÇÃO VERTICALIZADAS"/>
    <s v="Líder_Imed_159"/>
    <s v="Concluído"/>
    <n v="7"/>
    <s v="77%"/>
    <s v="Cursando"/>
    <n v="70"/>
    <n v="54"/>
  </r>
  <r>
    <s v="Colaborador_160"/>
    <s v="ASSISTENTE DE OP LOGISTICA I"/>
    <s v="ASSISTENTE"/>
    <s v="MAT_160"/>
    <s v="Unidade_160"/>
    <s v="CEARA"/>
    <x v="0"/>
    <x v="159"/>
    <s v="FATURAMENTO"/>
    <s v="Líder_Imed_160"/>
    <s v="Concluído"/>
    <n v="9"/>
    <s v="63%"/>
    <s v="Cursando"/>
    <n v="86"/>
    <n v="54"/>
  </r>
  <r>
    <s v="Colaborador_161"/>
    <s v="ASSISTENTE DE OP LOGISTICA II"/>
    <s v="ASSISTENTE"/>
    <s v="MAT_161"/>
    <s v="Unidade_161"/>
    <s v="CEARA"/>
    <x v="0"/>
    <x v="160"/>
    <s v="ALMOXARIFADO DE PRODUTO ACABADO"/>
    <s v="Líder_Imed_161"/>
    <s v="Concluído"/>
    <n v="9"/>
    <s v="93%"/>
    <s v="Cursando"/>
    <n v="104"/>
    <n v="97"/>
  </r>
  <r>
    <s v="Colaborador_162"/>
    <s v="ASSISTENTE DE OP LOGISTICA I"/>
    <s v="ASSISTENTE"/>
    <s v="MAT_162"/>
    <s v="Unidade_162"/>
    <s v="PIAUI"/>
    <x v="0"/>
    <x v="161"/>
    <s v="ALMOXARIFADO DE PRODUTO ACABADO"/>
    <s v="Líder_Imed_162"/>
    <s v="Concluído"/>
    <n v="9"/>
    <s v="100%"/>
    <s v="Concluído"/>
    <n v="106"/>
    <n v="106"/>
  </r>
  <r>
    <s v="Colaborador_163"/>
    <s v="COORDENADOR DE LOGISTICA"/>
    <s v="COORDENADOR"/>
    <s v="MAT_163"/>
    <s v="Unidade_163"/>
    <s v="BAHIA"/>
    <x v="0"/>
    <x v="162"/>
    <s v="TRANSP DIST FARINHA - DENTRO DO ESTADO"/>
    <s v="Líder_Imed_163"/>
    <s v="Concluído"/>
    <n v="7"/>
    <s v="100%"/>
    <s v="Concluído"/>
    <n v="66"/>
    <n v="66"/>
  </r>
  <r>
    <s v="Colaborador_164"/>
    <s v="ASSISTENTE DE OP LOGISTICA III"/>
    <s v="ASSISTENTE"/>
    <s v="MAT_164"/>
    <s v="Unidade_164"/>
    <s v="CEARA"/>
    <x v="4"/>
    <x v="163"/>
    <s v="CUSTOS LOGÍSTICOS E ORÇAMENTO CORP"/>
    <s v="Líder_Imed_164"/>
    <s v="Concluído"/>
    <n v="9"/>
    <s v="74%"/>
    <s v="Cursando"/>
    <n v="80"/>
    <n v="59"/>
  </r>
  <r>
    <s v="Colaborador_165"/>
    <s v="ASSISTENTE DE OP LOGISTICA I"/>
    <s v="ASSISTENTE"/>
    <s v="MAT_165"/>
    <s v="Unidade_165"/>
    <s v="CEARA"/>
    <x v="0"/>
    <x v="164"/>
    <s v="DISTRIBUIÇÃO"/>
    <s v="Líder_Imed_165"/>
    <s v="Concluído"/>
    <n v="9"/>
    <s v="100%"/>
    <s v="Concluído"/>
    <n v="84"/>
    <n v="84"/>
  </r>
  <r>
    <s v="Colaborador_166"/>
    <s v="ASSISTENTE DE OP LOGISTICA II"/>
    <s v="ASSISTENTE"/>
    <s v="MAT_166"/>
    <s v="Unidade_166"/>
    <s v="CEARA"/>
    <x v="0"/>
    <x v="165"/>
    <s v="CENTRAL DE PAGAMENTOS"/>
    <s v="Líder_Imed_166"/>
    <s v="Concluído"/>
    <n v="9"/>
    <s v="39%"/>
    <s v="Cursando"/>
    <n v="100"/>
    <n v="39"/>
  </r>
  <r>
    <s v="Colaborador_167"/>
    <s v="ASSISTENTE DE OP LOGISTICA II"/>
    <s v="ASSISTENTE"/>
    <s v="MAT_167"/>
    <s v="Unidade_167"/>
    <s v="CEARA"/>
    <x v="0"/>
    <x v="166"/>
    <s v="ALMOXARIFADO DE PRODUTO ACABADO"/>
    <s v="Líder_Imed_167"/>
    <s v="Concluído"/>
    <n v="7"/>
    <s v="100%"/>
    <s v="Concluído"/>
    <n v="84"/>
    <n v="84"/>
  </r>
  <r>
    <s v="Colaborador_168"/>
    <s v="ASSISTENTE DE OP LOGISTICA II"/>
    <s v="ASSISTENTE"/>
    <s v="MAT_168"/>
    <s v="Unidade_168"/>
    <s v="CEARA"/>
    <x v="0"/>
    <x v="167"/>
    <s v="CENTRAL DE MONITORAMENTO"/>
    <s v="Líder_Imed_168"/>
    <s v="Concluído"/>
    <n v="9"/>
    <s v="100%"/>
    <s v="Concluído"/>
    <n v="84"/>
    <n v="84"/>
  </r>
  <r>
    <s v="Colaborador_169"/>
    <s v="ASSISTENTE DE OP LOGISTICA III"/>
    <s v="ASSISTENTE"/>
    <s v="MAT_169"/>
    <s v="Unidade_169"/>
    <s v="RIO DE JANEIRO"/>
    <x v="0"/>
    <x v="168"/>
    <s v="ALMOXARIFADO DE PRODUTO ACABADO"/>
    <s v="Líder_Imed_169"/>
    <s v="Concluído"/>
    <n v="9"/>
    <s v="100%"/>
    <s v="Concluído"/>
    <n v="94"/>
    <n v="94"/>
  </r>
  <r>
    <s v="Colaborador_170"/>
    <s v="SUPERVISOR DE LOGISTICA"/>
    <s v="SUPERVISOR"/>
    <s v="MAT_170"/>
    <s v="Unidade_170"/>
    <s v="RIO GRANDE DO SUL"/>
    <x v="0"/>
    <x v="169"/>
    <s v="TRANSP DISTRIBUIÇÃO - DENTRO DO ESTADO"/>
    <s v="Líder_Imed_170"/>
    <s v="Concluído"/>
    <n v="7"/>
    <s v="11%"/>
    <s v="Cursando"/>
    <n v="98"/>
    <n v="11"/>
  </r>
  <r>
    <s v="Colaborador_171"/>
    <s v="ASSISTENTE ADMINISTRATIVO"/>
    <s v="ASSISTENTE"/>
    <s v="MAT_171"/>
    <s v="Unidade_171"/>
    <s v="PERNAMBUCO"/>
    <x v="0"/>
    <x v="170"/>
    <s v="CUSTOS LOGÍSTICOS E ORÇAMENTO"/>
    <s v="Líder_Imed_171"/>
    <s v="Concluído"/>
    <n v="9"/>
    <s v="100%"/>
    <s v="Concluído"/>
    <n v="106"/>
    <n v="106"/>
  </r>
  <r>
    <s v="Colaborador_172"/>
    <s v="ANALISTA DE PLANEJ LOGIST II"/>
    <s v="PROFISSIONAIS_II"/>
    <s v="MAT_172"/>
    <s v="Unidade_172"/>
    <s v="CEARA"/>
    <x v="1"/>
    <x v="171"/>
    <s v="PLANEJAMENTO DE PRODUÇÃO E ABASTECIMENTO"/>
    <s v="Líder_Imed_172"/>
    <s v="Concluído"/>
    <n v="5"/>
    <s v="100%"/>
    <s v="Concluído"/>
    <n v="72"/>
    <n v="72"/>
  </r>
  <r>
    <s v="Colaborador_173"/>
    <s v="COORDENADOR DE LOGISTICA"/>
    <s v="COORDENADOR"/>
    <s v="MAT_173"/>
    <s v="Unidade_173"/>
    <s v="CEARA"/>
    <x v="0"/>
    <x v="172"/>
    <s v="REGIONAL DE LOGÍSTICA SUPORTE REGIONAL"/>
    <s v="Líder_Imed_173"/>
    <s v="Concluído"/>
    <n v="7"/>
    <s v="85%"/>
    <s v="Cursando"/>
    <n v="82"/>
    <n v="70"/>
  </r>
  <r>
    <s v="Colaborador_174"/>
    <s v="ANALISTA DE PLANEJ LOGIST I"/>
    <s v="PROFISSIONAIS_I"/>
    <s v="MAT_174"/>
    <s v="Unidade_174"/>
    <s v="CEARA"/>
    <x v="0"/>
    <x v="173"/>
    <s v="GESTÃO DE TRANSPORTES"/>
    <s v="Líder_Imed_174"/>
    <s v="Concluído"/>
    <n v="9"/>
    <s v="11%"/>
    <s v="Cursando"/>
    <n v="70"/>
    <n v="8"/>
  </r>
  <r>
    <s v="Colaborador_175"/>
    <s v="SUPERVISOR DE LOGISTICA"/>
    <s v="SUPERVISOR"/>
    <s v="MAT_175"/>
    <s v="Unidade_175"/>
    <s v="PERNAMBUCO"/>
    <x v="0"/>
    <x v="174"/>
    <s v="REGIONAL DE LOGISTICA SUPORTE REGIONAL"/>
    <s v="Líder_Imed_175"/>
    <s v="Concluído"/>
    <n v="7"/>
    <s v="100%"/>
    <s v="Concluído"/>
    <n v="98"/>
    <n v="98"/>
  </r>
  <r>
    <s v="Colaborador_176"/>
    <s v="SUPERVISOR DE LOGISTICA"/>
    <s v="SUPERVISOR"/>
    <s v="MAT_176"/>
    <s v="Unidade_176"/>
    <s v="SAO PAULO"/>
    <x v="0"/>
    <x v="175"/>
    <s v="ALMOXARIFADO DE PRODUTO ACABADO"/>
    <s v="Líder_Imed_176"/>
    <s v="Concluído"/>
    <n v="7"/>
    <s v="74%"/>
    <s v="Cursando"/>
    <n v="98"/>
    <n v="73"/>
  </r>
  <r>
    <s v="Colaborador_177"/>
    <s v="ASSISTENTE ADMINISTRATIVO"/>
    <s v="ASSISTENTE"/>
    <s v="MAT_177"/>
    <s v="Unidade_177"/>
    <s v="RIO GRANDE DO SUL"/>
    <x v="0"/>
    <x v="176"/>
    <s v="FATURAMENTO"/>
    <s v="Líder_Imed_177"/>
    <s v="Concluído"/>
    <n v="9"/>
    <s v="100%"/>
    <s v="Concluído"/>
    <n v="74"/>
    <n v="74"/>
  </r>
  <r>
    <s v="Colaborador_178"/>
    <s v="ANALISTA DE LOGISTICA I"/>
    <s v="PROFISSIONAIS_I"/>
    <s v="MAT_178"/>
    <s v="Unidade_178"/>
    <s v="CEARA"/>
    <x v="0"/>
    <x v="177"/>
    <s v="CENTRAL DE MONITORAMENTO"/>
    <s v="Líder_Imed_178"/>
    <s v="Concluído"/>
    <n v="9"/>
    <s v="81%"/>
    <s v="Cursando"/>
    <n v="106"/>
    <n v="86"/>
  </r>
  <r>
    <s v="Colaborador_179"/>
    <s v="ASSISTENTE DE OP LOGISTICA I"/>
    <s v="ASSISTENTE"/>
    <s v="MAT_179"/>
    <s v="Unidade_179"/>
    <s v="BAHIA"/>
    <x v="0"/>
    <x v="178"/>
    <s v="ALMOXARIFADO GERAL"/>
    <s v="Líder_Imed_179"/>
    <s v="Concluído"/>
    <n v="9"/>
    <s v="100%"/>
    <s v="Concluído"/>
    <n v="72"/>
    <n v="72"/>
  </r>
  <r>
    <s v="Colaborador_180"/>
    <s v="ANALISTA DE LOGISTICA II"/>
    <s v="PROFISSIONAIS_II"/>
    <s v="MAT_180"/>
    <s v="Unidade_180"/>
    <s v="CEARA"/>
    <x v="0"/>
    <x v="179"/>
    <s v="DISTRIBUIÇÃO"/>
    <s v="Líder_Imed_180"/>
    <s v="Concluído"/>
    <n v="7"/>
    <s v="82%"/>
    <s v="Cursando"/>
    <n v="118"/>
    <n v="97"/>
  </r>
  <r>
    <s v="Colaborador_181"/>
    <s v="ASSISTENTE DE OP LOGISTICA I"/>
    <s v="ASSISTENTE"/>
    <s v="MAT_181"/>
    <s v="Unidade_181"/>
    <s v="MARANHAO"/>
    <x v="0"/>
    <x v="180"/>
    <s v="FATURAMENTO"/>
    <s v="Líder_Imed_181"/>
    <s v="Concluído"/>
    <n v="9"/>
    <s v="100%"/>
    <s v="Concluído"/>
    <n v="106"/>
    <n v="106"/>
  </r>
  <r>
    <s v="Colaborador_182"/>
    <s v="ASSISTENTE DE OP LOGISTICA II"/>
    <s v="ASSISTENTE"/>
    <s v="MAT_182"/>
    <s v="Unidade_182"/>
    <s v="BAHIA"/>
    <x v="0"/>
    <x v="181"/>
    <s v="FATURAMENTO"/>
    <s v="Líder_Imed_182"/>
    <s v="Concluído"/>
    <n v="9"/>
    <s v="100%"/>
    <s v="Concluído"/>
    <n v="94"/>
    <n v="94"/>
  </r>
  <r>
    <s v="Colaborador_183"/>
    <s v="COORDENADOR DE LOGISTICA"/>
    <s v="COORDENADOR"/>
    <s v="MAT_183"/>
    <s v="Unidade_183"/>
    <s v="SAO PAULO"/>
    <x v="0"/>
    <x v="182"/>
    <s v="REGIONAL DE LOGÍSTICA SUPORTE REGIONAL"/>
    <s v="Líder_Imed_183"/>
    <s v="Concluído"/>
    <n v="6"/>
    <s v="100%"/>
    <s v="Concluído"/>
    <n v="81"/>
    <n v="81"/>
  </r>
  <r>
    <s v="Colaborador_184"/>
    <s v="COORDENADOR DE LOGISTICA"/>
    <s v="COORDENADOR"/>
    <s v="MAT_184"/>
    <s v="Unidade_184"/>
    <s v="RIO GRANDE DO SUL"/>
    <x v="0"/>
    <x v="183"/>
    <s v="ALMOXARIFADO DE PRODUTO ACABADO"/>
    <s v="Líder_Imed_184"/>
    <s v="Concluído"/>
    <n v="7"/>
    <s v="38%"/>
    <s v="Cursando"/>
    <n v="82"/>
    <n v="31"/>
  </r>
  <r>
    <s v="Colaborador_185"/>
    <s v="ANALISTA DE LOGISTICA I"/>
    <s v="PROFISSIONAIS_I"/>
    <s v="MAT_185"/>
    <s v="Unidade_185"/>
    <s v="PERNAMBUCO"/>
    <x v="0"/>
    <x v="184"/>
    <s v="TRANSP DISTRIBUIÇÃO - DENTRO DO ESTADO"/>
    <s v="Líder_Imed_185"/>
    <s v="Concluído"/>
    <n v="5"/>
    <s v="100%"/>
    <s v="Concluído"/>
    <n v="62"/>
    <n v="62"/>
  </r>
  <r>
    <s v="Colaborador_186"/>
    <s v="GERENTE DE LOGISTICA"/>
    <s v="GERENTE"/>
    <s v="MAT_186"/>
    <s v="Unidade_186"/>
    <s v="MARANHAO"/>
    <x v="0"/>
    <x v="185"/>
    <s v="DISTRIBUIÇÃO"/>
    <s v="Líder_Imed_186"/>
    <s v="Concluído"/>
    <n v="8"/>
    <s v="75%"/>
    <s v="Cursando"/>
    <n v="71"/>
    <n v="53"/>
  </r>
  <r>
    <s v="Colaborador_187"/>
    <s v="SUPERVISOR DE LOGISTICA"/>
    <s v="SUPERVISOR"/>
    <s v="MAT_187"/>
    <s v="Unidade_187"/>
    <s v="PERNAMBUCO"/>
    <x v="0"/>
    <x v="186"/>
    <s v="TRANSP DISTRIBUIÇÃO - DENTRO DO ESTADO"/>
    <s v="Líder_Imed_187"/>
    <s v="Concluído"/>
    <n v="7"/>
    <s v="100%"/>
    <s v="Concluído"/>
    <n v="82"/>
    <n v="82"/>
  </r>
  <r>
    <s v="Colaborador_188"/>
    <s v="ASSISTENTE DE OP LOGISTICA II"/>
    <s v="ASSISTENTE"/>
    <s v="MAT_188"/>
    <s v="Unidade_188"/>
    <s v="CEARA"/>
    <x v="1"/>
    <x v="187"/>
    <s v="PLANEJAMENTO DE PRODUÇÃO E ABASTECIMENTO"/>
    <s v="Líder_Imed_188"/>
    <s v="Concluído"/>
    <n v="9"/>
    <s v="100%"/>
    <s v="Concluído"/>
    <n v="80"/>
    <n v="80"/>
  </r>
  <r>
    <s v="Colaborador_189"/>
    <s v="ANALISTA DE PLANEJ LOGIST II"/>
    <s v="PROFISSIONAIS_II"/>
    <s v="MAT_189"/>
    <s v="Unidade_189"/>
    <s v="CEARA"/>
    <x v="1"/>
    <x v="188"/>
    <s v="PLANEJAMENTO DE PRODUÇÃO E ABASTECIMENTO"/>
    <s v="Líder_Imed_189"/>
    <s v="Concluído"/>
    <n v="7"/>
    <s v="59%"/>
    <s v="Cursando"/>
    <n v="58"/>
    <n v="34"/>
  </r>
  <r>
    <s v="Colaborador_190"/>
    <s v="ANALISTA DE PLANEJ LOGIST III"/>
    <s v="PROFISSIONAIS_III"/>
    <s v="MAT_190"/>
    <s v="Unidade_190"/>
    <s v="CEARA"/>
    <x v="1"/>
    <x v="189"/>
    <s v="PLANEJAMENTO DE PRODUÇÃO E ABASTECIMENTO"/>
    <s v="Líder_Imed_190"/>
    <s v="Concluído"/>
    <n v="9"/>
    <s v="100%"/>
    <s v="Concluído"/>
    <n v="80"/>
    <n v="80"/>
  </r>
  <r>
    <s v="Colaborador_191"/>
    <s v="GERENTE DE LOGISTICA"/>
    <s v="GERENTE"/>
    <s v="MAT_191"/>
    <s v="Unidade_191"/>
    <s v="CEARA"/>
    <x v="0"/>
    <x v="190"/>
    <s v="REGIONAL DE LOGÍSTICA SUPORTE REGIONAL"/>
    <s v="Líder_Imed_191"/>
    <s v="Concluído"/>
    <n v="6"/>
    <s v="100%"/>
    <s v="Concluído"/>
    <n v="65"/>
    <n v="65"/>
  </r>
  <r>
    <s v="Colaborador_192"/>
    <s v="ASSISTENTE ADMINISTRATIVO"/>
    <s v="ASSISTENTE"/>
    <s v="MAT_192"/>
    <s v="Unidade_192"/>
    <s v="PERNAMBUCO"/>
    <x v="0"/>
    <x v="191"/>
    <s v="REGIONAL DE LOGÍSTICA SUPORTE REGIONAL"/>
    <s v="Líder_Imed_192"/>
    <s v="Concluído"/>
    <n v="9"/>
    <s v="86%"/>
    <s v="Cursando"/>
    <n v="84"/>
    <n v="72"/>
  </r>
  <r>
    <s v="Colaborador_193"/>
    <s v="SUPERVISOR DE LOGISTICA"/>
    <s v="SUPERVISOR"/>
    <s v="MAT_193"/>
    <s v="Unidade_193"/>
    <s v="RIO DE JANEIRO"/>
    <x v="0"/>
    <x v="192"/>
    <s v="DISTRIBUIÇÃO"/>
    <s v="Líder_Imed_193"/>
    <s v="Concluído"/>
    <n v="6"/>
    <s v="83%"/>
    <s v="Cursando"/>
    <n v="65"/>
    <n v="54"/>
  </r>
  <r>
    <s v="Colaborador_194"/>
    <s v="ANALISTA DE CUSTOMER SERVICE II"/>
    <s v="PROFISSIONAIS_II"/>
    <s v="MAT_194"/>
    <s v="Unidade_194"/>
    <s v="SAO PAULO"/>
    <x v="2"/>
    <x v="193"/>
    <s v="CUSTOMER SERVICE INTERNO"/>
    <s v="Líder_Imed_194"/>
    <s v="Concluído"/>
    <n v="5"/>
    <s v="100%"/>
    <s v="Concluído"/>
    <n v="46"/>
    <n v="46"/>
  </r>
  <r>
    <s v="Colaborador_195"/>
    <s v="ANALISTA DE CUSTOMER SERVICE II"/>
    <s v="PROFISSIONAIS_II"/>
    <s v="MAT_195"/>
    <s v="Unidade_195"/>
    <s v="CEARA"/>
    <x v="2"/>
    <x v="194"/>
    <s v="CUSTOMER SERVICE INTERNO"/>
    <s v="Líder_Imed_195"/>
    <s v="Concluído"/>
    <n v="5"/>
    <s v="19%"/>
    <s v="Cursando"/>
    <n v="62"/>
    <n v="12"/>
  </r>
  <r>
    <s v="Colaborador_196"/>
    <s v="ASSISTENTE ADMINISTRATIVO"/>
    <s v="ASSISTENTE"/>
    <s v="MAT_196"/>
    <s v="Unidade_196"/>
    <s v="PERNAMBUCO"/>
    <x v="0"/>
    <x v="195"/>
    <s v="ALMOXARIFADO DE PRODUTO ACABADO SUPORTE"/>
    <s v="Líder_Imed_196"/>
    <s v="Concluído"/>
    <n v="7"/>
    <s v="83%"/>
    <s v="Cursando"/>
    <n v="64"/>
    <n v="53"/>
  </r>
  <r>
    <s v="Colaborador_197"/>
    <s v="ANALISTA DE CUSTOMER SERVICE I"/>
    <s v="PROFISSIONAIS_I"/>
    <s v="MAT_197"/>
    <s v="Unidade_197"/>
    <s v="CEARA"/>
    <x v="2"/>
    <x v="196"/>
    <s v="CUSTOMER SERVICE INTERNO"/>
    <s v="Líder_Imed_197"/>
    <s v="Concluído"/>
    <n v="9"/>
    <s v="68%"/>
    <s v="Cursando"/>
    <n v="80"/>
    <n v="54"/>
  </r>
  <r>
    <s v="Colaborador_198"/>
    <s v="ANALISTA DE LOGISTICA I"/>
    <s v="PROFISSIONAIS_I"/>
    <s v="MAT_198"/>
    <s v="Unidade_198"/>
    <s v="CEARA"/>
    <x v="0"/>
    <x v="197"/>
    <s v="CENTRAL DE DEVOLUÇÕES"/>
    <s v="Líder_Imed_198"/>
    <s v="Concluído"/>
    <n v="7"/>
    <s v="66%"/>
    <s v="Cursando"/>
    <n v="62"/>
    <n v="41"/>
  </r>
  <r>
    <s v="Colaborador_199"/>
    <s v="ASSISTENTE DE OP LOGISTICA II"/>
    <s v="ASSISTENTE"/>
    <s v="MAT_199"/>
    <s v="Unidade_199"/>
    <s v="PIAUI"/>
    <x v="0"/>
    <x v="198"/>
    <s v="TRANSP DISTRIBUIÇÃO - DENTRO DO ESTADO"/>
    <s v="Líder_Imed_199"/>
    <s v="Concluído"/>
    <n v="9"/>
    <s v="100%"/>
    <s v="Concluído"/>
    <n v="106"/>
    <n v="106"/>
  </r>
  <r>
    <s v="Colaborador_200"/>
    <s v="ANALISTA DE LOGISTICA I"/>
    <s v="PROFISSIONAIS_I"/>
    <s v="MAT_200"/>
    <s v="Unidade_200"/>
    <s v="BAHIA"/>
    <x v="0"/>
    <x v="199"/>
    <s v="CUSTOS LOGÍSTICOS E ORÇAMENTO"/>
    <s v="Líder_Imed_200"/>
    <s v="Concluído"/>
    <n v="9"/>
    <s v="100%"/>
    <s v="Concluído"/>
    <n v="80"/>
    <n v="80"/>
  </r>
  <r>
    <s v="Colaborador_201"/>
    <s v="COORDENADOR DE LOGISTICA"/>
    <s v="COORDENADOR"/>
    <s v="MAT_201"/>
    <s v="Unidade_201"/>
    <s v="RIO GRANDE DO NORTE"/>
    <x v="0"/>
    <x v="200"/>
    <s v="REGIONAL DE LOGÍSTICA SUPORTE REGIONAL"/>
    <s v="Líder_Imed_201"/>
    <s v="Concluído"/>
    <n v="7"/>
    <s v="100%"/>
    <s v="Concluído"/>
    <n v="82"/>
    <n v="82"/>
  </r>
  <r>
    <s v="Colaborador_202"/>
    <s v="ESPECIALISTA DE LOGISTICA"/>
    <s v="ESPECIALISTA"/>
    <s v="MAT_202"/>
    <s v="Unidade_202"/>
    <s v="CEARA"/>
    <x v="1"/>
    <x v="201"/>
    <s v="SUPPLY CHAIN"/>
    <s v="Líder_Imed_202"/>
    <s v="Concluído"/>
    <n v="5"/>
    <s v="100%"/>
    <s v="Concluído"/>
    <n v="46"/>
    <n v="46"/>
  </r>
  <r>
    <s v="Colaborador_203"/>
    <s v="ASSISTENTE DE OP LOGISTICA I"/>
    <s v="ASSISTENTE"/>
    <s v="MAT_203"/>
    <s v="Unidade_203"/>
    <s v="BAHIA"/>
    <x v="0"/>
    <x v="202"/>
    <s v="CUSTOS LOGÍSTICOS E ORÇAMENTO"/>
    <s v="Líder_Imed_203"/>
    <s v="Concluído"/>
    <n v="9"/>
    <s v="100%"/>
    <s v="Concluído"/>
    <n v="84"/>
    <n v="84"/>
  </r>
  <r>
    <s v="Colaborador_204"/>
    <s v="ASSISTENTE DE OP LOGISTICA II"/>
    <s v="ASSISTENTE"/>
    <s v="MAT_204"/>
    <s v="Unidade_204"/>
    <s v="BAHIA"/>
    <x v="0"/>
    <x v="203"/>
    <s v="TRANSP DISTRIBUIÇÃO - DENTRO DO ESTADO"/>
    <s v="Líder_Imed_204"/>
    <s v="Concluído"/>
    <n v="9"/>
    <s v="51%"/>
    <s v="Cursando"/>
    <n v="84"/>
    <n v="43"/>
  </r>
  <r>
    <s v="Colaborador_205"/>
    <s v="ANALISTA DE CUSTOMER SERVICE I"/>
    <s v="PROFISSIONAIS_I"/>
    <s v="MAT_205"/>
    <s v="Unidade_205"/>
    <s v="CEARA"/>
    <x v="2"/>
    <x v="204"/>
    <s v="CUSTOMER SERVICE INTERNO"/>
    <s v="Líder_Imed_205"/>
    <s v="Concluído"/>
    <n v="7"/>
    <s v="100%"/>
    <s v="Concluído"/>
    <n v="78"/>
    <n v="78"/>
  </r>
  <r>
    <s v="Colaborador_206"/>
    <s v="ANALISTA DE LOGISTICA II"/>
    <s v="PROFISSIONAIS_II"/>
    <s v="MAT_206"/>
    <s v="Unidade_206"/>
    <s v="CEARA"/>
    <x v="4"/>
    <x v="205"/>
    <s v="CUSTOS LOGÍSTICOS E ORÇAMENTO CORP"/>
    <s v="Líder_Imed_206"/>
    <s v="Concluído"/>
    <n v="18"/>
    <s v="100%"/>
    <s v="Concluído"/>
    <n v="100"/>
    <n v="100"/>
  </r>
  <r>
    <s v="Colaborador_207"/>
    <s v="COORDENADOR DE PLANEJAMENTO LOGISTI"/>
    <s v="COORDENADOR"/>
    <s v="MAT_207"/>
    <s v="Unidade_207"/>
    <s v="CEARA"/>
    <x v="1"/>
    <x v="206"/>
    <s v="PLANEJAMENTO DE PRODUÇÃO E ABASTECIMENTO"/>
    <s v="Líder_Imed_207"/>
    <s v="Concluído"/>
    <n v="5"/>
    <s v="100%"/>
    <s v="Concluído"/>
    <n v="62"/>
    <n v="62"/>
  </r>
  <r>
    <s v="Colaborador_208"/>
    <s v="ANALISTA DE COSTUMER SERVICE II"/>
    <s v="PROFISSIONAIS_I"/>
    <s v="MAT_208"/>
    <s v="Unidade_208"/>
    <s v="JASMINE"/>
    <x v="2"/>
    <x v="207"/>
    <s v="COSTOMER SERVICE (CORPORATIVO)"/>
    <s v="Líder_Imed_208"/>
    <s v="Concluído"/>
    <n v="7"/>
    <s v="73%"/>
    <s v="Cursando"/>
    <n v="52"/>
    <n v="38"/>
  </r>
  <r>
    <s v="Colaborador_209"/>
    <s v="SUPERVISOR DE LOGISTICA"/>
    <s v="SUPERVISOR"/>
    <s v="MAT_209"/>
    <s v="Unidade_209"/>
    <s v="RIO DE JANEIRO"/>
    <x v="0"/>
    <x v="208"/>
    <s v="ALMOXARIFADO DE PRODUTO ACABADO SUPORTE"/>
    <s v="Líder_Imed_209"/>
    <s v="Concluído"/>
    <n v="7"/>
    <s v="77%"/>
    <s v="Cursando"/>
    <n v="82"/>
    <n v="63"/>
  </r>
  <r>
    <s v="Colaborador_210"/>
    <s v="GERENTE DE PLANEJ LOGISTICO"/>
    <s v="GERENTE"/>
    <s v="MAT_210"/>
    <s v="Unidade_210"/>
    <s v="CEARA"/>
    <x v="1"/>
    <x v="209"/>
    <s v="SUPPLY CHAIN"/>
    <s v="Líder_Imed_210"/>
    <s v="Concluído"/>
    <n v="6"/>
    <s v="48%"/>
    <s v="Cursando"/>
    <n v="65"/>
    <n v="31"/>
  </r>
  <r>
    <s v="Colaborador_211"/>
    <s v="ANALISTA DE CUSTOMER SERVICE II"/>
    <s v="PROFISSIONAIS_II"/>
    <s v="MAT_211"/>
    <s v="Unidade_211"/>
    <s v="CEARA"/>
    <x v="2"/>
    <x v="210"/>
    <s v="CUSTOMER SERVICE INTERNO"/>
    <s v="Líder_Imed_211"/>
    <s v="Concluído"/>
    <n v="5"/>
    <s v="100%"/>
    <s v="Concluído"/>
    <n v="72"/>
    <n v="72"/>
  </r>
  <r>
    <s v="Colaborador_212"/>
    <s v="ASSISTENTE DE OP LOGISTICA II"/>
    <s v="ASSISTENTE"/>
    <s v="MAT_212"/>
    <s v="Unidade_212"/>
    <s v="SAO PAULO"/>
    <x v="0"/>
    <x v="211"/>
    <s v="ALMOXARIFADO DE PRODUTO ACABADO"/>
    <s v="Líder_Imed_212"/>
    <s v="Concluído"/>
    <n v="9"/>
    <s v="100%"/>
    <s v="Concluído"/>
    <n v="84"/>
    <n v="84"/>
  </r>
  <r>
    <s v="Colaborador_213"/>
    <s v="ASSISTENTE DE OP LOGISTICA I"/>
    <s v="ASSISTENTE"/>
    <s v="MAT_213"/>
    <s v="Unidade_213"/>
    <s v="CEARA"/>
    <x v="0"/>
    <x v="212"/>
    <s v="GESTÃO DE TRANSPORTES"/>
    <s v="Líder_Imed_213"/>
    <s v="Concluído"/>
    <n v="9"/>
    <s v="100%"/>
    <s v="Concluído"/>
    <n v="108"/>
    <n v="108"/>
  </r>
  <r>
    <s v="Colaborador_214"/>
    <s v="ASSISTENTE DE OP LOGISTICA II"/>
    <s v="ASSISTENTE"/>
    <s v="MAT_214"/>
    <s v="Unidade_214"/>
    <s v="RIO DE JANEIRO"/>
    <x v="0"/>
    <x v="213"/>
    <s v="ALMOXARIFADO DE MATÉRIA-PRIMA"/>
    <s v="Líder_Imed_214"/>
    <s v="Concluído"/>
    <n v="9"/>
    <s v="100%"/>
    <s v="Concluído"/>
    <n v="55"/>
    <n v="55"/>
  </r>
  <r>
    <s v="Colaborador_215"/>
    <s v="ASSISTENTE DE OP LOGISTICA II"/>
    <s v="ASSISTENTE"/>
    <s v="MAT_215"/>
    <s v="Unidade_215"/>
    <s v="CEARA"/>
    <x v="0"/>
    <x v="214"/>
    <s v="TRANSP DISTRIBUIÇÃO - DENTRO DO ESTADO"/>
    <s v="Líder_Imed_215"/>
    <s v="Concluído"/>
    <n v="9"/>
    <s v="60%"/>
    <s v="Cursando"/>
    <n v="84"/>
    <n v="50"/>
  </r>
  <r>
    <s v="Colaborador_216"/>
    <s v="ANALISTA DE LOGISTICA I"/>
    <s v="PROFISSIONAIS_I"/>
    <s v="MAT_216"/>
    <s v="Unidade_216"/>
    <s v="PERNAMBUCO"/>
    <x v="0"/>
    <x v="215"/>
    <s v="ALMOXARIFADO DE MATÉRIA-PRIMA"/>
    <s v="Líder_Imed_216"/>
    <s v="Concluído"/>
    <n v="9"/>
    <s v="100%"/>
    <s v="Concluído"/>
    <n v="112"/>
    <n v="112"/>
  </r>
  <r>
    <s v="Colaborador_217"/>
    <s v="ANALISTA DE PLANEJ LOGIST III"/>
    <s v="PROFISSIONAIS_III"/>
    <s v="MAT_217"/>
    <s v="Unidade_217"/>
    <s v="CEARA"/>
    <x v="0"/>
    <x v="216"/>
    <s v="GESTÃO DE TRANSPORTES"/>
    <s v="Líder_Imed_217"/>
    <s v="Concluído"/>
    <n v="7"/>
    <s v="100%"/>
    <s v="Concluído"/>
    <n v="92"/>
    <n v="92"/>
  </r>
  <r>
    <s v="Colaborador_218"/>
    <s v="SUPERVISOR DE LOGISTICA"/>
    <s v="SUPERVISOR"/>
    <s v="MAT_218"/>
    <s v="Unidade_218"/>
    <s v="RIO DE JANEIRO"/>
    <x v="0"/>
    <x v="217"/>
    <s v="ALMOXARIFADO DE PRODUTO ACABADO"/>
    <s v="Líder_Imed_218"/>
    <s v="Concluído"/>
    <n v="7"/>
    <s v="100%"/>
    <s v="Concluído"/>
    <n v="52"/>
    <n v="52"/>
  </r>
  <r>
    <s v="Colaborador_219"/>
    <s v="COORDENADOR DE PLANEJAMENTO LOGISTI"/>
    <s v="COORDENADOR"/>
    <s v="MAT_219"/>
    <s v="Unidade_219"/>
    <s v="BAHIA"/>
    <x v="1"/>
    <x v="218"/>
    <s v="SUPPLY CHAIN"/>
    <s v="Líder_Imed_219"/>
    <s v="Concluído"/>
    <n v="6"/>
    <s v="100%"/>
    <s v="Concluído"/>
    <n v="97"/>
    <n v="97"/>
  </r>
  <r>
    <s v="Colaborador_220"/>
    <s v="ASSISTENTE ADMINISTRATIVO"/>
    <s v="ASSISTENTE"/>
    <s v="MAT_220"/>
    <s v="Unidade_220"/>
    <s v="PERNAMBUCO"/>
    <x v="0"/>
    <x v="219"/>
    <s v="ALMOXARIFADO DE PRODUTO ACABADO SUPORTE"/>
    <s v="Líder_Imed_220"/>
    <s v="Concluído"/>
    <n v="7"/>
    <s v="50%"/>
    <s v="Cursando"/>
    <n v="62"/>
    <n v="31"/>
  </r>
  <r>
    <s v="Colaborador_221"/>
    <s v="ASSISTENTE DE CUSTOMER SERVICE"/>
    <s v="ASSISTENTE_ESPECIFICO"/>
    <s v="MAT_221"/>
    <s v="Unidade_221"/>
    <s v="SAO PAULO"/>
    <x v="2"/>
    <x v="220"/>
    <s v="CUSTOMER SERVICE INTERNO"/>
    <s v="Líder_Imed_221"/>
    <s v="Concluído"/>
    <n v="7"/>
    <s v="88%"/>
    <s v="Cursando"/>
    <n v="64"/>
    <n v="56"/>
  </r>
  <r>
    <s v="Colaborador_222"/>
    <s v="ANALISTA DE CUSTOMER SERVICE I"/>
    <s v="PROFISSIONAIS_I"/>
    <s v="MAT_222"/>
    <s v="Unidade_222"/>
    <s v="CEARA"/>
    <x v="2"/>
    <x v="221"/>
    <s v="CUSTOMER SERVICE INTERNO"/>
    <s v="Líder_Imed_222"/>
    <s v="Concluído"/>
    <n v="7"/>
    <s v="100%"/>
    <s v="Concluído"/>
    <n v="78"/>
    <n v="78"/>
  </r>
  <r>
    <s v="Colaborador_223"/>
    <s v="ASSISTENTE DE OP LOGISTICA I"/>
    <s v="ASSISTENTE"/>
    <s v="MAT_223"/>
    <s v="Unidade_223"/>
    <s v="PERNAMBUCO"/>
    <x v="0"/>
    <x v="222"/>
    <s v="ALMOXARIFADO DE EMBALAGENS"/>
    <s v="Líder_Imed_223"/>
    <s v="Concluído"/>
    <n v="7"/>
    <s v="100%"/>
    <s v="Concluído"/>
    <n v="58"/>
    <n v="58"/>
  </r>
  <r>
    <s v="Colaborador_224"/>
    <s v="GERENTE DE PLANEJ LOGISTICO"/>
    <s v="GERENTE"/>
    <s v="MAT_224"/>
    <s v="Unidade_224"/>
    <s v="SAO PAULO"/>
    <x v="1"/>
    <x v="223"/>
    <s v="SUPPLY CHAIN"/>
    <s v="Líder_Imed_224"/>
    <s v="Concluído"/>
    <n v="7"/>
    <s v="100%"/>
    <s v="Concluído"/>
    <n v="78"/>
    <n v="78"/>
  </r>
  <r>
    <s v="Colaborador_225"/>
    <s v="ASSISTENTE DE CUSTOMER SERVICE"/>
    <s v="ASSISTENTE_ESPECIFICO"/>
    <s v="MAT_225"/>
    <s v="Unidade_225"/>
    <s v="CEARA"/>
    <x v="2"/>
    <x v="224"/>
    <s v="CUSTOMER SERVICE INTERNO"/>
    <s v="Líder_Imed_225"/>
    <s v="Concluído"/>
    <n v="7"/>
    <s v="100%"/>
    <s v="Concluído"/>
    <n v="64"/>
    <n v="64"/>
  </r>
  <r>
    <s v="Colaborador_226"/>
    <s v="ASSISTENTE DE OP LOGISTICA I"/>
    <s v="ASSISTENTE"/>
    <s v="MAT_226"/>
    <s v="Unidade_226"/>
    <s v="CEARA"/>
    <x v="0"/>
    <x v="225"/>
    <s v="ALMOXARIFADO DE PRODUTO ACABADO"/>
    <s v="Líder_Imed_226"/>
    <s v="Concluído"/>
    <n v="9"/>
    <s v="80%"/>
    <s v="Cursando"/>
    <n v="70"/>
    <n v="56"/>
  </r>
  <r>
    <s v="Colaborador_227"/>
    <s v="ASSISTENTE ADMINISTRATIVO"/>
    <s v="ASSISTENTE"/>
    <s v="MAT_227"/>
    <s v="Unidade_227"/>
    <s v="PERNAMBUCO"/>
    <x v="0"/>
    <x v="226"/>
    <s v="TRANSP DISTRIBUIÇÃO - DENTRO DO ESTADO"/>
    <s v="Líder_Imed_227"/>
    <s v="Concluído"/>
    <n v="7"/>
    <s v="100%"/>
    <s v="Concluído"/>
    <n v="64"/>
    <n v="64"/>
  </r>
  <r>
    <s v="Colaborador_228"/>
    <s v="ANALISTA DE PLANEJ LOGIST II"/>
    <s v="PROFISSIONAIS_II"/>
    <s v="MAT_228"/>
    <s v="Unidade_228"/>
    <s v="CEARA"/>
    <x v="0"/>
    <x v="227"/>
    <s v="GESTÃO DE TRANSPORTES"/>
    <s v="Líder_Imed_228"/>
    <s v="Concluído"/>
    <n v="9"/>
    <s v="37%"/>
    <s v="Cursando"/>
    <n v="106"/>
    <n v="39"/>
  </r>
  <r>
    <s v="Colaborador_229"/>
    <s v="ASSISTENTE DE OP LOGISTICA III"/>
    <s v="ASSISTENTE"/>
    <s v="MAT_229"/>
    <s v="Unidade_229"/>
    <s v="PARA"/>
    <x v="0"/>
    <x v="228"/>
    <s v="TRANSP DISTRIBUIÇÃO - DENTRO DO ESTADO"/>
    <s v="Líder_Imed_229"/>
    <s v="Concluído"/>
    <n v="9"/>
    <s v="100%"/>
    <s v="Concluído"/>
    <n v="108"/>
    <n v="108"/>
  </r>
  <r>
    <s v="Colaborador_230"/>
    <s v="ESTAGIARIO"/>
    <s v="ESTAGIARIO"/>
    <s v="MAT_230"/>
    <s v="Unidade_230"/>
    <s v="RIO DE JANEIRO"/>
    <x v="0"/>
    <x v="229"/>
    <s v="ALMOXARIFADO DE PRODUTO ACABADO"/>
    <s v="Líder_Imed_230"/>
    <s v="Concluído"/>
    <n v="9"/>
    <s v="100%"/>
    <s v="Concluído"/>
    <n v="118"/>
    <n v="118"/>
  </r>
  <r>
    <s v="Colaborador_231"/>
    <s v="ASSISTENTE DE OP LOGISTICA II"/>
    <s v="ASSISTENTE"/>
    <s v="MAT_231"/>
    <s v="Unidade_231"/>
    <s v="CEARA"/>
    <x v="0"/>
    <x v="230"/>
    <s v="CENTRAL DE PAGAMENTOS"/>
    <s v="Líder_Imed_231"/>
    <s v="Concluído"/>
    <n v="7"/>
    <s v="100%"/>
    <s v="Concluído"/>
    <n v="78"/>
    <n v="78"/>
  </r>
  <r>
    <s v="Colaborador_232"/>
    <s v="ASSISTENTE DE OP LOGISTICA III"/>
    <s v="ASSISTENTE"/>
    <s v="MAT_232"/>
    <s v="Unidade_232"/>
    <s v="RIO DE JANEIRO"/>
    <x v="0"/>
    <x v="231"/>
    <s v="CUSTOS LOGISTICOS E ORCAMENTO"/>
    <s v="Líder_Imed_232"/>
    <s v="Concluído"/>
    <n v="9"/>
    <s v="92%"/>
    <s v="Cursando"/>
    <n v="120"/>
    <n v="110"/>
  </r>
  <r>
    <s v="Colaborador_233"/>
    <s v="ANALISTA DE CUSTOMER SERVICE I"/>
    <s v="PROFISSIONAIS_I"/>
    <s v="MAT_233"/>
    <s v="Unidade_233"/>
    <s v="CEARA"/>
    <x v="2"/>
    <x v="232"/>
    <s v="CUSTOMER SERVICE EXTERNO"/>
    <s v="Líder_Imed_233"/>
    <s v="Concluído"/>
    <n v="9"/>
    <s v="100%"/>
    <s v="Concluído"/>
    <n v="86"/>
    <n v="86"/>
  </r>
  <r>
    <s v="Colaborador_234"/>
    <s v="SUPERVISOR DE LOGISTICA"/>
    <s v="SUPERVISOR"/>
    <s v="MAT_234"/>
    <s v="Unidade_234"/>
    <s v="CEARA"/>
    <x v="0"/>
    <x v="233"/>
    <s v="ALMOXARIFADO DE PRODUTO ACABADO"/>
    <s v="Líder_Imed_234"/>
    <s v="Concluído"/>
    <n v="7"/>
    <s v="100%"/>
    <s v="Concluído"/>
    <n v="66"/>
    <n v="66"/>
  </r>
  <r>
    <s v="Colaborador_235"/>
    <s v="SUPERVISOR DE LOGISTICA"/>
    <s v="SUPERVISOR"/>
    <s v="MAT_235"/>
    <s v="Unidade_235"/>
    <s v="CEARA"/>
    <x v="0"/>
    <x v="234"/>
    <s v="ALMOXARIFADO DE MATÉRIA-PRIMA"/>
    <s v="Líder_Imed_235"/>
    <s v="Concluído"/>
    <n v="7"/>
    <s v="100%"/>
    <s v="Concluído"/>
    <n v="82"/>
    <n v="82"/>
  </r>
  <r>
    <s v="Colaborador_236"/>
    <s v="ASSISTENTE DE OP LOGISTICA II"/>
    <s v="ASSISTENTE"/>
    <s v="MAT_236"/>
    <s v="Unidade_236"/>
    <s v="RIO GRANDE DO NORTE"/>
    <x v="0"/>
    <x v="235"/>
    <s v="FATURAMENTO"/>
    <s v="Líder_Imed_236"/>
    <s v="Concluído"/>
    <n v="9"/>
    <s v="100%"/>
    <s v="Concluído"/>
    <n v="84"/>
    <n v="84"/>
  </r>
  <r>
    <s v="Colaborador_237"/>
    <s v="ASSISTENTE DE OP LOGISTICA I"/>
    <s v="ASSISTENTE"/>
    <s v="MAT_237"/>
    <s v="Unidade_237"/>
    <s v="CEARA"/>
    <x v="0"/>
    <x v="236"/>
    <s v="GESTÃO DE TRANSPORTES"/>
    <s v="Líder_Imed_237"/>
    <s v="Concluído"/>
    <n v="7"/>
    <s v="100%"/>
    <s v="Concluído"/>
    <n v="84"/>
    <n v="84"/>
  </r>
  <r>
    <s v="Colaborador_238"/>
    <s v="ASSISTENTE DE OP LOGISTICA II"/>
    <s v="ASSISTENTE"/>
    <s v="MAT_238"/>
    <s v="Unidade_238"/>
    <s v="CEARA"/>
    <x v="0"/>
    <x v="237"/>
    <s v="TRANSP DISTRIBUIÇÃO - DENTRO DO ESTADO"/>
    <s v="Líder_Imed_238"/>
    <s v="Concluído"/>
    <n v="7"/>
    <s v="75%"/>
    <s v="Cursando"/>
    <n v="64"/>
    <n v="48"/>
  </r>
  <r>
    <s v="Colaborador_239"/>
    <s v="ASSISTENTE DE OP LOGISTICA III"/>
    <s v="ASSISTENTE"/>
    <s v="MAT_239"/>
    <s v="Unidade_239"/>
    <s v="PARAIBA"/>
    <x v="0"/>
    <x v="238"/>
    <s v="TRANSP DISTRIBUIÇÃO - DENTRO DO ESTADO"/>
    <s v="Líder_Imed_239"/>
    <s v="Concluído"/>
    <n v="7"/>
    <s v="100%"/>
    <s v="Concluído"/>
    <n v="64"/>
    <n v="64"/>
  </r>
  <r>
    <s v="Colaborador_240"/>
    <s v="COORDENADOR DE SUPPLY CHAIN"/>
    <s v="COORDENADOR"/>
    <s v="MAT_240"/>
    <s v="Unidade_240"/>
    <s v="JASMINE"/>
    <x v="1"/>
    <x v="239"/>
    <s v="GERÊNCIA INDUSTRIAL JASMINE"/>
    <s v="Líder_Imed_240"/>
    <s v="Concluído"/>
    <n v="4"/>
    <s v="100%"/>
    <s v="Concluído"/>
    <n v="75"/>
    <n v="75"/>
  </r>
  <r>
    <s v="Colaborador_241"/>
    <s v="ESPECIALISTA DE LOGISTICA"/>
    <s v="ESPECIALISTA"/>
    <s v="MAT_241"/>
    <s v="Unidade_241"/>
    <s v="CEARA"/>
    <x v="3"/>
    <x v="240"/>
    <s v="PLANEJAMENTO E ANÁLISE DE MALHA"/>
    <s v="Líder_Imed_241"/>
    <s v="Concluído"/>
    <n v="7"/>
    <s v="100%"/>
    <s v="Concluído"/>
    <n v="83"/>
    <n v="83"/>
  </r>
  <r>
    <s v="Colaborador_242"/>
    <s v="ANALISTA DE LOGISTICA I"/>
    <s v="PROFISSIONAIS_I"/>
    <s v="MAT_242"/>
    <s v="Unidade_242"/>
    <s v="PERNAMBUCO"/>
    <x v="0"/>
    <x v="241"/>
    <s v="CUSTOS LOGÍSTICOS E ORÇAMENTO"/>
    <s v="Líder_Imed_242"/>
    <s v="Concluído"/>
    <n v="9"/>
    <s v="100%"/>
    <s v="Concluído"/>
    <n v="78"/>
    <n v="78"/>
  </r>
  <r>
    <s v="Colaborador_243"/>
    <s v="ANALISTA DE PLANEJ LOGIST II"/>
    <s v="PROFISSIONAIS_II"/>
    <s v="MAT_243"/>
    <s v="Unidade_243"/>
    <s v="CEARA"/>
    <x v="1"/>
    <x v="242"/>
    <s v="DEMANDA"/>
    <s v="Líder_Imed_243"/>
    <s v="Concluído"/>
    <n v="7"/>
    <s v="100%"/>
    <s v="Concluído"/>
    <n v="78"/>
    <n v="78"/>
  </r>
  <r>
    <s v="Colaborador_244"/>
    <s v="SUPERVISOR DE LOGISTICA"/>
    <s v="SUPERVISOR"/>
    <s v="MAT_244"/>
    <s v="Unidade_244"/>
    <s v="CEARA"/>
    <x v="0"/>
    <x v="243"/>
    <s v="ALMOXARIFADO DE PRODUTO ACABADO"/>
    <s v="Líder_Imed_244"/>
    <s v="Concluído"/>
    <n v="7"/>
    <s v="100%"/>
    <s v="Concluído"/>
    <n v="82"/>
    <n v="82"/>
  </r>
  <r>
    <s v="Colaborador_245"/>
    <s v="ASSISTENTE DE OP LOGISTICA II"/>
    <s v="ASSISTENTE"/>
    <s v="MAT_245"/>
    <s v="Unidade_245"/>
    <s v="CEARA"/>
    <x v="0"/>
    <x v="244"/>
    <s v="FATURAMENTO"/>
    <s v="Líder_Imed_245"/>
    <s v="Concluído"/>
    <n v="7"/>
    <s v="100%"/>
    <s v="Concluído"/>
    <n v="62"/>
    <n v="62"/>
  </r>
  <r>
    <s v="Colaborador_246"/>
    <s v="ASSISTENTE DE OP LOGISTICA II"/>
    <s v="ASSISTENTE"/>
    <s v="MAT_246"/>
    <s v="Unidade_246"/>
    <s v="CEARA"/>
    <x v="0"/>
    <x v="245"/>
    <s v="ALMOXARIFADO DE PRODUTO ACABADO"/>
    <s v="Líder_Imed_246"/>
    <s v="Concluído"/>
    <n v="9"/>
    <s v="26%"/>
    <s v="Cursando"/>
    <n v="70"/>
    <n v="18"/>
  </r>
  <r>
    <s v="Colaborador_247"/>
    <s v="ANALISTA DE CUSTOMER SERVICE II"/>
    <s v="PROFISSIONAIS_II"/>
    <s v="MAT_247"/>
    <s v="Unidade_247"/>
    <s v="CEARA"/>
    <x v="2"/>
    <x v="246"/>
    <s v="CUSTOMER SERVICE INTERNO"/>
    <s v="Líder_Imed_247"/>
    <s v="Concluído"/>
    <n v="5"/>
    <s v="100%"/>
    <s v="Concluído"/>
    <n v="62"/>
    <n v="62"/>
  </r>
  <r>
    <s v="Colaborador_248"/>
    <s v="ANALISTA DE LOGISTICA I"/>
    <s v="PROFISSIONAIS_I"/>
    <s v="MAT_248"/>
    <s v="Unidade_248"/>
    <s v="PERNAMBUCO"/>
    <x v="0"/>
    <x v="247"/>
    <s v="TRANSP DISTRIBUIÇÃO - DENTRO DO ESTADO"/>
    <s v="Líder_Imed_248"/>
    <s v="Concluído"/>
    <n v="9"/>
    <s v="14%"/>
    <s v="Cursando"/>
    <n v="78"/>
    <n v="11"/>
  </r>
  <r>
    <s v="Colaborador_249"/>
    <s v="SUPERVISOR DE LOGISTICA"/>
    <s v="SUPERVISOR"/>
    <s v="MAT_249"/>
    <s v="Unidade_249"/>
    <s v="PERNAMBUCO"/>
    <x v="0"/>
    <x v="248"/>
    <s v="REGIONAL DE LOGÍSTICA SUPORTE REGIONAL"/>
    <s v="Líder_Imed_249"/>
    <s v="Concluído"/>
    <n v="7"/>
    <s v="100%"/>
    <s v="Concluído"/>
    <n v="66"/>
    <n v="66"/>
  </r>
  <r>
    <s v="Colaborador_250"/>
    <s v="ASSISTENTE DE OP LOGISTICA III"/>
    <s v="ASSISTENTE"/>
    <s v="MAT_250"/>
    <s v="Unidade_250"/>
    <s v="PIAUI"/>
    <x v="0"/>
    <x v="249"/>
    <s v="TRANSP DISTRIBUIÇÃO - DENTRO DO ESTADO"/>
    <s v="Líder_Imed_250"/>
    <s v="Concluído"/>
    <n v="9"/>
    <s v="100%"/>
    <s v="Concluído"/>
    <n v="72"/>
    <n v="72"/>
  </r>
  <r>
    <s v="Colaborador_251"/>
    <s v="ASSISTENTE DE CUSTOMER SERVICE"/>
    <s v="ASSISTENTE_ESPECIFICO"/>
    <s v="MAT_251"/>
    <s v="Unidade_251"/>
    <s v="SAO PAULO"/>
    <x v="2"/>
    <x v="250"/>
    <s v="CUSTOMER SERVICE INTERNO"/>
    <s v="Líder_Imed_251"/>
    <s v="Concluído"/>
    <n v="7"/>
    <s v="100%"/>
    <s v="Concluído"/>
    <n v="74"/>
    <n v="74"/>
  </r>
  <r>
    <s v="Colaborador_252"/>
    <s v="SUPERVISOR DE LOGISTICA"/>
    <s v="SUPERVISOR"/>
    <s v="MAT_252"/>
    <s v="Unidade_252"/>
    <s v="CEARA"/>
    <x v="0"/>
    <x v="251"/>
    <s v="ALMOXARIFADO GERAL"/>
    <s v="Líder_Imed_252"/>
    <s v="Concluído"/>
    <n v="7"/>
    <s v="100%"/>
    <s v="Concluído"/>
    <n v="66"/>
    <n v="66"/>
  </r>
  <r>
    <s v="Colaborador_253"/>
    <s v="ASSISTENTE DE CUSTOMER SERVICE"/>
    <s v="ASSISTENTE_ESPECIFICO"/>
    <s v="MAT_253"/>
    <s v="Unidade_253"/>
    <s v="PERNAMBUCO"/>
    <x v="2"/>
    <x v="252"/>
    <s v="CUSTOMER SERVICE INTERNO"/>
    <s v="Líder_Imed_253"/>
    <s v="Concluído"/>
    <n v="7"/>
    <s v="100%"/>
    <s v="Concluído"/>
    <n v="64"/>
    <n v="64"/>
  </r>
  <r>
    <s v="Colaborador_254"/>
    <s v="GERENTE REGIONAL DE LOGISTICA"/>
    <s v="GERENTE"/>
    <s v="MAT_254"/>
    <s v="Unidade_254"/>
    <s v="PERNAMBUCO"/>
    <x v="0"/>
    <x v="253"/>
    <s v="REGIONAL DE LOGÍSTICA SUPORTE REGIONAL"/>
    <s v="Líder_Imed_254"/>
    <s v="Concluído"/>
    <n v="7"/>
    <s v="100%"/>
    <s v="Concluído"/>
    <n v="98"/>
    <n v="98"/>
  </r>
  <r>
    <s v="Colaborador_255"/>
    <s v="ASSISTENTE ADMINISTRATIVO"/>
    <s v="ASSISTENTE"/>
    <s v="MAT_255"/>
    <s v="Unidade_255"/>
    <s v="PERNAMBUCO"/>
    <x v="0"/>
    <x v="254"/>
    <s v="ALMOXARIFADO DE PRODUTO ACABADO"/>
    <s v="Líder_Imed_255"/>
    <s v="Concluído"/>
    <n v="9"/>
    <s v="100%"/>
    <s v="Concluído"/>
    <n v="106"/>
    <n v="106"/>
  </r>
  <r>
    <s v="Colaborador_256"/>
    <s v="ASSISTENTE DE OP LOGISTICA II"/>
    <s v="ASSISTENTE"/>
    <s v="MAT_256"/>
    <s v="Unidade_256"/>
    <s v="CEARA"/>
    <x v="0"/>
    <x v="255"/>
    <s v="CENTRAL DE MONITORAMENTO"/>
    <s v="Líder_Imed_256"/>
    <s v="Concluído"/>
    <n v="9"/>
    <s v="60%"/>
    <s v="Cursando"/>
    <n v="78"/>
    <n v="47"/>
  </r>
  <r>
    <s v="Colaborador_257"/>
    <s v="SUPERVISOR DE LOGISTICA"/>
    <s v="SUPERVISOR"/>
    <s v="MAT_257"/>
    <s v="Unidade_257"/>
    <s v="BAHIA"/>
    <x v="0"/>
    <x v="256"/>
    <s v="ALMOXARIFADO GERAL"/>
    <s v="Líder_Imed_257"/>
    <s v="Concluído"/>
    <n v="7"/>
    <s v="100%"/>
    <s v="Concluído"/>
    <n v="52"/>
    <n v="52"/>
  </r>
  <r>
    <s v="Colaborador_258"/>
    <s v="ASSISTENTE ADMINISTRATIVO"/>
    <s v="ASSISTENTE"/>
    <s v="MAT_258"/>
    <s v="Unidade_258"/>
    <s v="PERNAMBUCO"/>
    <x v="0"/>
    <x v="257"/>
    <s v="TRANSP DISTRIBUIÇÃO - DENTRO DO ESTADO"/>
    <s v="Líder_Imed_258"/>
    <s v="Concluído"/>
    <n v="9"/>
    <s v="100%"/>
    <s v="Concluído"/>
    <n v="106"/>
    <n v="106"/>
  </r>
  <r>
    <s v="Colaborador_259"/>
    <s v="ASSISTENTE DE OP LOGISTICA II"/>
    <s v="ASSISTENTE"/>
    <s v="MAT_259"/>
    <s v="Unidade_259"/>
    <s v="RIO DE JANEIRO"/>
    <x v="0"/>
    <x v="258"/>
    <s v="GESTÃO DE TRANSPORTES"/>
    <s v="Líder_Imed_259"/>
    <s v="Concluído"/>
    <n v="9"/>
    <s v="100%"/>
    <s v="Concluído"/>
    <n v="94"/>
    <n v="94"/>
  </r>
  <r>
    <s v="Colaborador_260"/>
    <s v="ASSISTENTE DE OP LOGISTICA I"/>
    <s v="ASSISTENTE"/>
    <s v="MAT_260"/>
    <s v="Unidade_260"/>
    <s v="CEARA"/>
    <x v="0"/>
    <x v="259"/>
    <s v="GESTÃO DE TRANSPORTES"/>
    <s v="Líder_Imed_260"/>
    <s v="Concluído"/>
    <n v="9"/>
    <s v="14%"/>
    <s v="Cursando"/>
    <n v="84"/>
    <n v="12"/>
  </r>
  <r>
    <s v="Colaborador_261"/>
    <s v="ASSISTENTE DE OP LOGISTICA II"/>
    <s v="ASSISTENTE"/>
    <s v="MAT_261"/>
    <s v="Unidade_261"/>
    <s v="PERNAMBUCO"/>
    <x v="0"/>
    <x v="260"/>
    <s v="CENTRAL DE MONITORAMENTO"/>
    <s v="Líder_Imed_261"/>
    <s v="Concluído"/>
    <n v="9"/>
    <s v="100%"/>
    <s v="Concluído"/>
    <n v="84"/>
    <n v="84"/>
  </r>
  <r>
    <s v="Colaborador_262"/>
    <s v="GERENTE EXECUTIVO CUSTOMER SERVICE"/>
    <s v="GERENTE"/>
    <s v="MAT_262"/>
    <s v="Unidade_262"/>
    <s v="SAO PAULO"/>
    <x v="2"/>
    <x v="261"/>
    <s v="CUSTOMER SERVICE EXTERNO"/>
    <s v="Líder_Imed_262"/>
    <s v="Concluído"/>
    <n v="5"/>
    <s v="52%"/>
    <s v="Cursando"/>
    <n v="46"/>
    <n v="24"/>
  </r>
  <r>
    <s v="Colaborador_263"/>
    <s v="ANALISTA DE LOGISTICA I"/>
    <s v="PROFISSIONAIS_I"/>
    <s v="MAT_263"/>
    <s v="Unidade_263"/>
    <s v="PERNAMBUCO"/>
    <x v="0"/>
    <x v="262"/>
    <s v="CUSTOS LOGÍSTICOS E ORÇAMENTO"/>
    <s v="Líder_Imed_263"/>
    <s v="Concluído"/>
    <n v="9"/>
    <s v="100%"/>
    <s v="Concluído"/>
    <n v="94"/>
    <n v="94"/>
  </r>
  <r>
    <s v="Colaborador_264"/>
    <s v="ASSISTENTE DE OP LOGISTICA I"/>
    <s v="ASSISTENTE"/>
    <s v="MAT_264"/>
    <s v="Unidade_264"/>
    <s v="BAHIA"/>
    <x v="0"/>
    <x v="263"/>
    <s v="FATURAMENTO"/>
    <s v="Líder_Imed_264"/>
    <s v="Concluído"/>
    <n v="9"/>
    <s v="100%"/>
    <s v="Concluído"/>
    <n v="84"/>
    <n v="84"/>
  </r>
  <r>
    <s v="Colaborador_265"/>
    <s v="GERENTE DE PLANEJ LOGISTICO"/>
    <s v="GERENTE"/>
    <s v="MAT_265"/>
    <s v="Unidade_265"/>
    <s v="CEARA"/>
    <x v="1"/>
    <x v="264"/>
    <s v="PLANEJAMENTO INTEGRADO"/>
    <s v="Líder_Imed_265"/>
    <s v="Concluído"/>
    <n v="7"/>
    <s v="100%"/>
    <s v="Concluído"/>
    <n v="106"/>
    <n v="106"/>
  </r>
  <r>
    <s v="Colaborador_266"/>
    <s v="COORDENADOR DE LOGISTICA"/>
    <s v="COORDENADOR"/>
    <s v="MAT_266"/>
    <s v="Unidade_266"/>
    <s v="RIO DE JANEIRO"/>
    <x v="0"/>
    <x v="265"/>
    <s v="ALMOXARIFADO DE PRODUTO ACABADO"/>
    <s v="Líder_Imed_266"/>
    <s v="Concluído"/>
    <n v="7"/>
    <s v="100%"/>
    <s v="Concluído"/>
    <n v="82"/>
    <n v="82"/>
  </r>
  <r>
    <s v="Colaborador_267"/>
    <s v="ANALISTA DE LOGISTICA II"/>
    <s v="PROFISSIONAIS_II"/>
    <s v="MAT_267"/>
    <s v="Unidade_267"/>
    <s v="AMAZONAS"/>
    <x v="0"/>
    <x v="266"/>
    <s v="TRANSP DISTRIBUIÇÃO - DENTRO DO ESTADO"/>
    <s v="Líder_Imed_267"/>
    <s v="Concluído"/>
    <n v="7"/>
    <s v="43%"/>
    <s v="Cursando"/>
    <n v="82"/>
    <n v="35"/>
  </r>
  <r>
    <s v="Colaborador_268"/>
    <s v="ANALISTA DE COSTUMER SERVICE"/>
    <s v="PROFISSIONAIS_I"/>
    <s v="MAT_268"/>
    <s v="Unidade_268"/>
    <s v="JASMINE"/>
    <x v="2"/>
    <x v="267"/>
    <s v="COSTOMER SERVICE (CORPORATIVO)"/>
    <s v="Líder_Imed_268"/>
    <s v="Concluído"/>
    <n v="5"/>
    <s v="100%"/>
    <s v="Concluído"/>
    <n v="78"/>
    <n v="78"/>
  </r>
  <r>
    <s v="Colaborador_269"/>
    <s v="ANALISTA DE PLANEJ LOGIST II"/>
    <s v="PROFISSIONAIS_II"/>
    <s v="MAT_269"/>
    <s v="Unidade_269"/>
    <s v="CEARA"/>
    <x v="1"/>
    <x v="268"/>
    <s v="PLANEJAMENTO DE PRODUÇÃO E ABASTECIMENTO"/>
    <s v="Líder_Imed_269"/>
    <s v="Concluído"/>
    <n v="7"/>
    <s v="100%"/>
    <s v="Concluído"/>
    <n v="58"/>
    <n v="58"/>
  </r>
  <r>
    <s v="Colaborador_270"/>
    <s v="ASSISTENTE DE OP LOGISTICA III"/>
    <s v="ASSISTENTE"/>
    <s v="MAT_270"/>
    <s v="Unidade_270"/>
    <s v="RIO GRANDE DO NORTE"/>
    <x v="0"/>
    <x v="269"/>
    <s v="TRANSP DISTRIBUIÇÃO - DENTRO DO ESTADO"/>
    <s v="Líder_Imed_270"/>
    <s v="Concluído"/>
    <n v="9"/>
    <s v="100%"/>
    <s v="Concluído"/>
    <n v="72"/>
    <n v="72"/>
  </r>
  <r>
    <s v="Colaborador_271"/>
    <s v="ASSISTENTE DE OP LOGISTICA III"/>
    <s v="ASSISTENTE"/>
    <s v="MAT_271"/>
    <s v="Unidade_271"/>
    <s v="CEARA"/>
    <x v="0"/>
    <x v="270"/>
    <s v="CENTRAL DE PAGAMENTOS"/>
    <s v="Líder_Imed_271"/>
    <s v="Concluído"/>
    <n v="9"/>
    <s v="88%"/>
    <s v="Cursando"/>
    <n v="78"/>
    <n v="69"/>
  </r>
  <r>
    <s v="Colaborador_272"/>
    <s v="ESTAGIARIO"/>
    <s v="ESTAGIARIO"/>
    <s v="MAT_272"/>
    <s v="Unidade_272"/>
    <s v="PERNAMBUCO"/>
    <x v="0"/>
    <x v="271"/>
    <s v="DISTRIBUIÇÃO"/>
    <s v="Líder_Imed_272"/>
    <s v="Concluído"/>
    <n v="9"/>
    <s v="100%"/>
    <s v="Concluído"/>
    <n v="84"/>
    <n v="84"/>
  </r>
  <r>
    <s v="Colaborador_273"/>
    <s v="SUPERVISOR DE COSTUMER SERVICE"/>
    <s v="SUPERVISOR"/>
    <s v="MAT_273"/>
    <s v="Unidade_273"/>
    <s v="JASMINE"/>
    <x v="2"/>
    <x v="272"/>
    <s v="COSTOMER SERVICE (CORPORATIVO)"/>
    <s v="Líder_Imed_273"/>
    <s v="Concluído"/>
    <n v="7"/>
    <s v="100%"/>
    <s v="Concluído"/>
    <n v="52"/>
    <n v="52"/>
  </r>
  <r>
    <s v="Colaborador_274"/>
    <s v="ANALISTA DE LOGISTICA I"/>
    <s v="PROFISSIONAIS_I"/>
    <s v="MAT_274"/>
    <s v="Unidade_274"/>
    <s v="CEARA"/>
    <x v="0"/>
    <x v="273"/>
    <s v="DISTRIBUIÇÃO"/>
    <s v="Líder_Imed_274"/>
    <s v="Concluído"/>
    <n v="9"/>
    <s v="33%"/>
    <s v="Cursando"/>
    <n v="86"/>
    <n v="28"/>
  </r>
  <r>
    <s v="Colaborador_275"/>
    <s v="SUPERVISOR DE LOGISTICA"/>
    <s v="SUPERVISOR"/>
    <s v="MAT_275"/>
    <s v="Unidade_275"/>
    <s v="SAO PAULO"/>
    <x v="2"/>
    <x v="274"/>
    <s v="CUSTOMER SERVICE INTERNO"/>
    <s v="Líder_Imed_275"/>
    <s v="Concluído"/>
    <n v="9"/>
    <s v="100%"/>
    <s v="Concluído"/>
    <n v="80"/>
    <n v="80"/>
  </r>
  <r>
    <s v="Colaborador_276"/>
    <s v="ASSISTENTE ADMINISTRATIVO"/>
    <s v="ASSISTENTE"/>
    <s v="MAT_276"/>
    <s v="Unidade_276"/>
    <s v="PERNAMBUCO"/>
    <x v="0"/>
    <x v="275"/>
    <s v="ALMOXARIFADO DE PRODUTO ACABADO SUPORTE"/>
    <s v="Líder_Imed_276"/>
    <s v="Concluído"/>
    <n v="9"/>
    <s v="100%"/>
    <s v="Concluído"/>
    <n v="117"/>
    <n v="117"/>
  </r>
  <r>
    <s v="Colaborador_277"/>
    <s v="GERENTE DE LOGISTICA"/>
    <s v="GERENTE"/>
    <s v="MAT_277"/>
    <s v="Unidade_277"/>
    <s v="CEARA"/>
    <x v="0"/>
    <x v="276"/>
    <s v="DISTRIBUIÇÃO"/>
    <s v="Líder_Imed_277"/>
    <s v="Concluído"/>
    <n v="6"/>
    <s v="100%"/>
    <s v="Concluído"/>
    <n v="65"/>
    <n v="65"/>
  </r>
  <r>
    <s v="Colaborador_278"/>
    <s v="ESPECIALISTA DE LOGISTICA"/>
    <s v="ESPECIALISTA"/>
    <s v="MAT_278"/>
    <s v="Unidade_278"/>
    <s v="CEARA"/>
    <x v="0"/>
    <x v="277"/>
    <s v="GESTÃO DA PERFORMANCE"/>
    <s v="Líder_Imed_278"/>
    <s v="Concluído"/>
    <n v="6"/>
    <s v="100%"/>
    <s v="Concluído"/>
    <n v="91"/>
    <n v="91"/>
  </r>
  <r>
    <s v="Colaborador_279"/>
    <s v="COORDENADOR REGIONAL DE LOGÍSTICA"/>
    <s v="COORDENADOR"/>
    <s v="MAT_279"/>
    <s v="Unidade_279"/>
    <s v="JASMINE"/>
    <x v="0"/>
    <x v="278"/>
    <s v="LOGISTICA ADM CGS"/>
    <s v="Líder_Imed_279"/>
    <s v="Concluído"/>
    <n v="5"/>
    <s v="100%"/>
    <s v="Concluído"/>
    <n v="62"/>
    <n v="62"/>
  </r>
  <r>
    <s v="Colaborador_280"/>
    <s v="ASSISTENTE DE OP LOGISTICA I"/>
    <s v="ASSISTENTE"/>
    <s v="MAT_280"/>
    <s v="Unidade_280"/>
    <s v="RIO GRANDE DO SUL"/>
    <x v="0"/>
    <x v="279"/>
    <s v="TRANSP DISTRIBUIÇÃO - DENTRO DO ESTADO"/>
    <s v="Líder_Imed_280"/>
    <s v="Concluído"/>
    <n v="9"/>
    <s v="76%"/>
    <s v="Cursando"/>
    <n v="84"/>
    <n v="64"/>
  </r>
  <r>
    <s v="Colaborador_281"/>
    <s v="ASSISTENTE DE OP LOGISTICA I"/>
    <s v="ASSISTENTE"/>
    <s v="MAT_281"/>
    <s v="Unidade_281"/>
    <s v="BAHIA"/>
    <x v="0"/>
    <x v="280"/>
    <s v="ALMOXARIFADO DE PRODUTO ACABADO"/>
    <s v="Líder_Imed_281"/>
    <s v="Concluído"/>
    <n v="7"/>
    <s v="100%"/>
    <s v="Concluído"/>
    <n v="84"/>
    <n v="84"/>
  </r>
  <r>
    <s v="Colaborador_282"/>
    <s v="ASSISTENTE DE OP LOGISTICA II"/>
    <s v="ASSISTENTE"/>
    <s v="MAT_282"/>
    <s v="Unidade_282"/>
    <s v="CEARA"/>
    <x v="0"/>
    <x v="281"/>
    <s v="CENTRAL DE ROTEIRIZAÇÃO"/>
    <s v="Líder_Imed_282"/>
    <s v="Concluído"/>
    <n v="9"/>
    <s v="100%"/>
    <s v="Concluído"/>
    <n v="114"/>
    <n v="114"/>
  </r>
  <r>
    <s v="Colaborador_283"/>
    <s v="ANALISTA DE PLANEJ LOGIST II"/>
    <s v="PROFISSIONAIS_II"/>
    <s v="MAT_283"/>
    <s v="Unidade_283"/>
    <s v="CEARA"/>
    <x v="1"/>
    <x v="282"/>
    <s v="SUPPLY CHAIN"/>
    <s v="Líder_Imed_283"/>
    <s v="Concluído"/>
    <n v="7"/>
    <s v="100%"/>
    <s v="Concluído"/>
    <n v="52"/>
    <n v="52"/>
  </r>
  <r>
    <s v="Colaborador_284"/>
    <s v="ANALISTA DE CUSTOMER SERVICE II"/>
    <s v="PROFISSIONAIS_II"/>
    <s v="MAT_284"/>
    <s v="Unidade_284"/>
    <s v="CEARA"/>
    <x v="2"/>
    <x v="283"/>
    <s v="CUSTOMER SERVICE INTERNO"/>
    <s v="Líder_Imed_284"/>
    <s v="Concluído"/>
    <n v="7"/>
    <s v="100%"/>
    <s v="Concluído"/>
    <n v="78"/>
    <n v="78"/>
  </r>
  <r>
    <s v="Colaborador_285"/>
    <s v="ASSISTENTE DE CUSTOMER SERVICE"/>
    <s v="ASSISTENTE_ESPECIFICO"/>
    <s v="MAT_285"/>
    <s v="Unidade_285"/>
    <s v="CEARA"/>
    <x v="2"/>
    <x v="284"/>
    <s v="CUSTOMER SERVICE INTERNO"/>
    <s v="Líder_Imed_285"/>
    <s v="Concluído"/>
    <n v="7"/>
    <s v="100%"/>
    <s v="Concluído"/>
    <n v="58"/>
    <n v="58"/>
  </r>
  <r>
    <s v="Colaborador_286"/>
    <s v="SUPERVISOR DE LOGISTICA"/>
    <s v="SUPERVISOR"/>
    <s v="MAT_286"/>
    <s v="Unidade_286"/>
    <s v="DISTRITO FEDERAL"/>
    <x v="0"/>
    <x v="285"/>
    <s v="TRANSP DISTRIBUIÇÃO - DENTRO DO ESTADO"/>
    <s v="Líder_Imed_286"/>
    <s v="Concluído"/>
    <n v="7"/>
    <s v="100%"/>
    <s v="Concluído"/>
    <n v="82"/>
    <n v="82"/>
  </r>
  <r>
    <s v="Colaborador_287"/>
    <s v="ANALISTA DE PLANEJ LOGIST III"/>
    <s v="PROFISSIONAIS_III"/>
    <s v="MAT_287"/>
    <s v="Unidade_287"/>
    <s v="SAO PAULO"/>
    <x v="1"/>
    <x v="286"/>
    <s v="SUPPLY CHAIN"/>
    <s v="Líder_Imed_287"/>
    <s v="Concluído"/>
    <n v="7"/>
    <s v="21%"/>
    <s v="Cursando"/>
    <n v="78"/>
    <n v="16"/>
  </r>
  <r>
    <s v="Colaborador_288"/>
    <s v="ASSISTENTE DE OP LOGISTICA II"/>
    <s v="ASSISTENTE"/>
    <s v="MAT_288"/>
    <s v="Unidade_288"/>
    <s v="CEARA"/>
    <x v="0"/>
    <x v="287"/>
    <s v="CENTRAL DE PAGAMENTOS"/>
    <s v="Líder_Imed_288"/>
    <s v="Concluído"/>
    <n v="9"/>
    <s v="62%"/>
    <s v="Cursando"/>
    <n v="78"/>
    <n v="48"/>
  </r>
  <r>
    <s v="Colaborador_289"/>
    <s v="ASSISTENTE DE OP LOGISTICA I"/>
    <s v="ASSISTENTE"/>
    <s v="MAT_289"/>
    <s v="Unidade_289"/>
    <s v="CEARA"/>
    <x v="0"/>
    <x v="288"/>
    <s v="CENTRAL DE DEVOLUÇÕES"/>
    <s v="Líder_Imed_289"/>
    <s v="Concluído"/>
    <n v="7"/>
    <s v="100%"/>
    <s v="Concluído"/>
    <n v="78"/>
    <n v="78"/>
  </r>
  <r>
    <s v="Colaborador_290"/>
    <s v="ASSISTENTE DE OP LOGISTICA I"/>
    <s v="ASSISTENTE"/>
    <s v="MAT_290"/>
    <s v="Unidade_290"/>
    <s v="BAHIA"/>
    <x v="0"/>
    <x v="289"/>
    <s v="ALMOXARIFADO DE MATÉRIA-PRIMA"/>
    <s v="Líder_Imed_290"/>
    <s v="Concluído"/>
    <n v="9"/>
    <s v="53%"/>
    <s v="Cursando"/>
    <n v="108"/>
    <n v="57"/>
  </r>
  <r>
    <s v="Colaborador_291"/>
    <s v="ASSISTENTE DE OP LOGISTICA I"/>
    <s v="ASSISTENTE"/>
    <s v="MAT_291"/>
    <s v="Unidade_291"/>
    <s v="SAO PAULO"/>
    <x v="0"/>
    <x v="290"/>
    <s v="ALMOXARIFADO DE PRODUTO ACABADO"/>
    <s v="Líder_Imed_291"/>
    <s v="Concluído"/>
    <n v="7"/>
    <s v="94%"/>
    <s v="Cursando"/>
    <n v="62"/>
    <n v="58"/>
  </r>
  <r>
    <s v="Colaborador_292"/>
    <s v="COORDENADOR DE LOGISTICA"/>
    <s v="COORDENADOR"/>
    <s v="MAT_292"/>
    <s v="Unidade_292"/>
    <s v="CEARA"/>
    <x v="0"/>
    <x v="291"/>
    <s v="TRANSP DIST FARINHA - DENTRO DO ESTADO"/>
    <s v="Líder_Imed_292"/>
    <s v="Concluído"/>
    <n v="7"/>
    <s v="100%"/>
    <s v="Concluído"/>
    <n v="82"/>
    <n v="82"/>
  </r>
  <r>
    <s v="Colaborador_293"/>
    <s v="COORDENADOR DE LOGISTICA"/>
    <s v="COORDENADOR"/>
    <s v="MAT_293"/>
    <s v="Unidade_293"/>
    <s v="BAHIA"/>
    <x v="0"/>
    <x v="292"/>
    <s v="REGIONAL DE LOGÍSTICA SUPORTE REGIONAL"/>
    <s v="Líder_Imed_293"/>
    <s v="Concluído"/>
    <n v="5"/>
    <s v="100%"/>
    <s v="Concluído"/>
    <n v="62"/>
    <n v="62"/>
  </r>
  <r>
    <s v="Colaborador_294"/>
    <s v="ASSISTENTE DE OP LOGISTICA III"/>
    <s v="ASSISTENTE"/>
    <s v="MAT_294"/>
    <s v="Unidade_294"/>
    <s v="CEARA"/>
    <x v="0"/>
    <x v="293"/>
    <s v="CENTRAL DE PAGAMENTOS"/>
    <s v="Líder_Imed_294"/>
    <s v="Concluído"/>
    <n v="9"/>
    <s v="66%"/>
    <s v="Cursando"/>
    <n v="106"/>
    <n v="70"/>
  </r>
  <r>
    <s v="Colaborador_295"/>
    <s v="ASSISTENTE DE OP LOGISTICA I"/>
    <s v="ASSISTENTE"/>
    <s v="MAT_295"/>
    <s v="Unidade_295"/>
    <s v="MARANHAO"/>
    <x v="0"/>
    <x v="294"/>
    <s v="FATURAMENTO"/>
    <s v="Líder_Imed_295"/>
    <s v="Concluído"/>
    <n v="7"/>
    <s v="100%"/>
    <s v="Concluído"/>
    <n v="62"/>
    <n v="62"/>
  </r>
  <r>
    <s v="Colaborador_296"/>
    <s v="ANALISTA DE CUSTOMER SERVICE III"/>
    <s v="PROFISSIONAIS_III"/>
    <s v="MAT_296"/>
    <s v="Unidade_296"/>
    <s v="CEARA"/>
    <x v="2"/>
    <x v="295"/>
    <s v="CUSTOMER SERVICE INTERNO"/>
    <s v="Líder_Imed_296"/>
    <s v="Concluído"/>
    <n v="5"/>
    <s v="100%"/>
    <s v="Concluído"/>
    <n v="46"/>
    <n v="46"/>
  </r>
  <r>
    <s v="Colaborador_297"/>
    <s v="ANALISTA DE CUSTOMER SERVICE I"/>
    <s v="PROFISSIONAIS_I"/>
    <s v="MAT_297"/>
    <s v="Unidade_297"/>
    <s v="CEARA"/>
    <x v="2"/>
    <x v="296"/>
    <s v="CUSTOMER SERVICE INTERNO"/>
    <s v="Líder_Imed_297"/>
    <s v="Concluído"/>
    <n v="7"/>
    <s v="87%"/>
    <s v="Cursando"/>
    <n v="78"/>
    <n v="68"/>
  </r>
  <r>
    <s v="Colaborador_298"/>
    <s v="ASSISTENTE DE OP LOGISTICA II"/>
    <s v="ASSISTENTE"/>
    <s v="MAT_298"/>
    <s v="Unidade_298"/>
    <s v="CEARA"/>
    <x v="1"/>
    <x v="297"/>
    <s v="SUPPLY CHAIN"/>
    <s v="Líder_Imed_298"/>
    <s v="Concluído"/>
    <n v="9"/>
    <s v="100%"/>
    <s v="Concluído"/>
    <n v="76"/>
    <n v="76"/>
  </r>
  <r>
    <s v="Colaborador_299"/>
    <s v="ANALISTA DE PLANEJ LOGIST II"/>
    <s v="PROFISSIONAIS_II"/>
    <s v="MAT_299"/>
    <s v="Unidade_299"/>
    <s v="CEARA"/>
    <x v="1"/>
    <x v="298"/>
    <s v="PLANEJAMENTO DE PRODUÇÃO E ABASTECIMENTO"/>
    <s v="Líder_Imed_299"/>
    <s v="Concluído"/>
    <n v="7"/>
    <s v="53%"/>
    <s v="Cursando"/>
    <n v="58"/>
    <n v="31"/>
  </r>
  <r>
    <s v="Colaborador_300"/>
    <s v="ASSISTENTE DE OP LOGISTICA II"/>
    <s v="ASSISTENTE"/>
    <s v="MAT_300"/>
    <s v="Unidade_300"/>
    <s v="CEARA"/>
    <x v="0"/>
    <x v="299"/>
    <s v="GESTÃO DE TRANSPORTES"/>
    <s v="Líder_Imed_300"/>
    <s v="Concluído"/>
    <n v="7"/>
    <s v="100%"/>
    <s v="Concluído"/>
    <n v="64"/>
    <n v="64"/>
  </r>
  <r>
    <s v="Colaborador_301"/>
    <s v="SUPERVISOR DE ALMOXARIFADO"/>
    <s v="SUPERVISOR"/>
    <s v="MAT_301"/>
    <s v="Unidade_301"/>
    <s v="SAO PAULO"/>
    <x v="0"/>
    <x v="300"/>
    <s v="ALMOXARIFADO DE MATÉRIA-PRIMA"/>
    <s v="Líder_Imed_301"/>
    <s v="Concluído"/>
    <n v="9"/>
    <s v="100%"/>
    <s v="Concluído"/>
    <n v="100"/>
    <n v="100"/>
  </r>
  <r>
    <s v="Colaborador_302"/>
    <s v="ASSISTENTE DE OP LOGISTICA III"/>
    <s v="ASSISTENTE"/>
    <s v="MAT_302"/>
    <s v="Unidade_302"/>
    <s v="RIO DE JANEIRO"/>
    <x v="0"/>
    <x v="301"/>
    <s v="ALMOXARIFADO DE PRODUTO ACABADO"/>
    <s v="Líder_Imed_302"/>
    <s v="Concluído"/>
    <n v="7"/>
    <s v="87%"/>
    <s v="Cursando"/>
    <n v="62"/>
    <n v="54"/>
  </r>
  <r>
    <s v="Colaborador_303"/>
    <s v="ASSISTENTE DE OP LOGISTICA II"/>
    <s v="ASSISTENTE"/>
    <s v="MAT_303"/>
    <s v="Unidade_303"/>
    <s v="CEARA"/>
    <x v="1"/>
    <x v="302"/>
    <s v="PLANEJAMENTO DE PRODUÇÃO E ABASTECIMENTO"/>
    <s v="Líder_Imed_303"/>
    <s v="Concluído"/>
    <n v="7"/>
    <s v="100%"/>
    <s v="Concluído"/>
    <n v="58"/>
    <n v="58"/>
  </r>
  <r>
    <s v="Colaborador_304"/>
    <s v="ASSISTENTE ADMINISTRATIVO"/>
    <s v="ASSISTENTE"/>
    <s v="MAT_304"/>
    <s v="Unidade_304"/>
    <s v="PERNAMBUCO"/>
    <x v="0"/>
    <x v="303"/>
    <s v="ALMOXARIFADO DE PRODUTO ACABADO"/>
    <s v="Líder_Imed_304"/>
    <s v="Concluído"/>
    <n v="7"/>
    <s v="100%"/>
    <s v="Concluído"/>
    <n v="78"/>
    <n v="78"/>
  </r>
  <r>
    <s v="Colaborador_305"/>
    <s v="ESTAGIARIO"/>
    <s v="ESTAGIARIO"/>
    <s v="MAT_305"/>
    <s v="Unidade_305"/>
    <s v="BAHIA"/>
    <x v="0"/>
    <x v="304"/>
    <s v="ALMOXARIFADO DE PRODUTO ACABADO"/>
    <s v="Líder_Imed_305"/>
    <s v="Concluído"/>
    <n v="9"/>
    <s v="86%"/>
    <s v="Cursando"/>
    <n v="104"/>
    <n v="89"/>
  </r>
  <r>
    <s v="Colaborador_306"/>
    <s v="ANALISTA DE PLANEJ LOGIST I"/>
    <s v="PROFISSIONAIS_I"/>
    <s v="MAT_306"/>
    <s v="Unidade_306"/>
    <s v="CEARA"/>
    <x v="1"/>
    <x v="305"/>
    <s v="PLANEJAMENTO DE PRODUÇÃO E ABASTECIMENTO"/>
    <s v="Líder_Imed_306"/>
    <s v="Concluído"/>
    <n v="7"/>
    <s v="31%"/>
    <s v="Cursando"/>
    <n v="58"/>
    <n v="18"/>
  </r>
  <r>
    <s v="Colaborador_307"/>
    <s v="SUPERVISOR DE LOGISTICA"/>
    <s v="SUPERVISOR"/>
    <s v="MAT_307"/>
    <s v="Unidade_307"/>
    <s v="BAHIA"/>
    <x v="0"/>
    <x v="306"/>
    <s v="EXPEDIÇÃO VERTICALIZADAS"/>
    <s v="Líder_Imed_307"/>
    <s v="Concluído"/>
    <n v="5"/>
    <s v="100%"/>
    <s v="Concluído"/>
    <n v="76"/>
    <n v="76"/>
  </r>
  <r>
    <s v="Colaborador_308"/>
    <s v="ANALISTA DE PLANEJ LOGIST II"/>
    <s v="PROFISSIONAIS_II"/>
    <s v="MAT_308"/>
    <s v="Unidade_308"/>
    <s v="CEARA"/>
    <x v="1"/>
    <x v="307"/>
    <s v="DEMANDA"/>
    <s v="Líder_Imed_308"/>
    <s v="Concluído"/>
    <n v="7"/>
    <s v="100%"/>
    <s v="Concluído"/>
    <n v="78"/>
    <n v="78"/>
  </r>
  <r>
    <s v="Colaborador_309"/>
    <s v="GERENTE DE PLANEJ LOGISTICO"/>
    <s v="GERENTE"/>
    <s v="MAT_309"/>
    <s v="Unidade_309"/>
    <s v="PERNAMBUCO"/>
    <x v="1"/>
    <x v="308"/>
    <s v="SUPPLY CHAIN"/>
    <s v="Líder_Imed_309"/>
    <s v="Concluído"/>
    <n v="8"/>
    <s v="100%"/>
    <s v="Concluído"/>
    <n v="83"/>
    <n v="83"/>
  </r>
  <r>
    <s v="Colaborador_310"/>
    <s v="SUPERVISOR DE LOGISTICA"/>
    <s v="SUPERVISOR"/>
    <s v="MAT_310"/>
    <s v="Unidade_310"/>
    <s v="CEARA"/>
    <x v="0"/>
    <x v="309"/>
    <s v="TRANSP DISTRIBUIÇÃO - DENTRO DO ESTADO"/>
    <s v="Líder_Imed_310"/>
    <s v="Concluído"/>
    <n v="6"/>
    <s v="100%"/>
    <s v="Concluído"/>
    <n v="95"/>
    <n v="95"/>
  </r>
  <r>
    <s v="Colaborador_311"/>
    <s v="COORDENADOR DE LOGISTICA"/>
    <s v="COORDENADOR"/>
    <s v="MAT_311"/>
    <s v="Unidade_311"/>
    <s v="PERNAMBUCO"/>
    <x v="0"/>
    <x v="310"/>
    <s v="TRANSP DISTRIBUIÇÃO - DENTRO DO ESTADO"/>
    <s v="Líder_Imed_311"/>
    <s v="Concluído"/>
    <n v="7"/>
    <s v="73%"/>
    <s v="Cursando"/>
    <n v="52"/>
    <n v="38"/>
  </r>
  <r>
    <s v="Colaborador_312"/>
    <s v="ASSISTENTE DE OP LOGISTICA II"/>
    <s v="ASSISTENTE"/>
    <s v="MAT_312"/>
    <s v="Unidade_312"/>
    <s v="RIO GRANDE DO NORTE"/>
    <x v="0"/>
    <x v="311"/>
    <s v="EXPEDIÇÃO VERTICALIZADAS"/>
    <s v="Líder_Imed_312"/>
    <s v="Concluído"/>
    <n v="9"/>
    <s v="100%"/>
    <s v="Concluído"/>
    <n v="104"/>
    <n v="104"/>
  </r>
  <r>
    <s v="Colaborador_313"/>
    <s v="ASSISTENTE DE OP LOGISTICA I"/>
    <s v="ASSISTENTE"/>
    <s v="MAT_313"/>
    <s v="Unidade_313"/>
    <s v="CEARA"/>
    <x v="0"/>
    <x v="312"/>
    <s v="CENTRAL DE PAGAMENTOS"/>
    <s v="Líder_Imed_313"/>
    <s v="Concluído"/>
    <n v="9"/>
    <s v="53%"/>
    <s v="Cursando"/>
    <n v="92"/>
    <n v="49"/>
  </r>
  <r>
    <s v="Colaborador_314"/>
    <s v="SUPERVISOR DE LOGISTICA"/>
    <s v="SUPERVISOR"/>
    <s v="MAT_314"/>
    <s v="Unidade_314"/>
    <s v="CEARA"/>
    <x v="0"/>
    <x v="313"/>
    <s v="ALMOXARIFADO DE PRODUTO ACABADO"/>
    <s v="Líder_Imed_314"/>
    <s v="Concluído"/>
    <n v="7"/>
    <s v="20%"/>
    <s v="Cursando"/>
    <n v="82"/>
    <n v="16"/>
  </r>
  <r>
    <s v="Colaborador_315"/>
    <s v="ASSISTENTE DE OP LOGISTICA II"/>
    <s v="ASSISTENTE"/>
    <s v="MAT_315"/>
    <s v="Unidade_315"/>
    <s v="SAO PAULO"/>
    <x v="0"/>
    <x v="314"/>
    <s v="ALMOXARIFADO DE PRODUTO ACABADO"/>
    <s v="Líder_Imed_315"/>
    <s v="Concluído"/>
    <n v="7"/>
    <s v="100%"/>
    <s v="Concluído"/>
    <n v="62"/>
    <n v="62"/>
  </r>
  <r>
    <s v="Colaborador_316"/>
    <s v="ASSISTENTE DE OP LOGISTICA I"/>
    <s v="ASSISTENTE"/>
    <s v="MAT_316"/>
    <s v="Unidade_316"/>
    <s v="CEARA"/>
    <x v="0"/>
    <x v="315"/>
    <s v="TRANSP DIST FARINHA - DENTRO DO ESTADO"/>
    <s v="Líder_Imed_316"/>
    <s v="Concluído"/>
    <n v="9"/>
    <s v="66%"/>
    <s v="Cursando"/>
    <n v="80"/>
    <n v="53"/>
  </r>
  <r>
    <s v="Colaborador_317"/>
    <s v="ANALISTA DE PLANEJ LOGIST II"/>
    <s v="PROFISSIONAIS_II"/>
    <s v="MAT_317"/>
    <s v="Unidade_317"/>
    <s v="CEARA"/>
    <x v="0"/>
    <x v="316"/>
    <s v="CENTRAL DE PAGAMENTOS"/>
    <s v="Líder_Imed_317"/>
    <s v="Concluído"/>
    <n v="9"/>
    <s v="87%"/>
    <s v="Cursando"/>
    <n v="106"/>
    <n v="92"/>
  </r>
  <r>
    <s v="Colaborador_318"/>
    <s v="GERENTE DE LOGISTICA"/>
    <s v="GERENTE"/>
    <s v="MAT_318"/>
    <s v="Unidade_318"/>
    <s v="CEARA"/>
    <x v="4"/>
    <x v="317"/>
    <s v="CUSTOS LOGÍSTICOS E ORÇAMENTO CORP"/>
    <s v="Líder_Imed_318"/>
    <s v="Concluído"/>
    <n v="12"/>
    <s v="100%"/>
    <s v="Concluído"/>
    <n v="81"/>
    <n v="81"/>
  </r>
  <r>
    <s v="Colaborador_319"/>
    <s v="ANALISTA DE PLANEJ LOGIST III"/>
    <s v="PROFISSIONAIS_III"/>
    <s v="MAT_319"/>
    <s v="Unidade_319"/>
    <s v="BAHIA"/>
    <x v="1"/>
    <x v="318"/>
    <s v="SUPPLY CHAIN"/>
    <s v="Líder_Imed_319"/>
    <s v="Concluído"/>
    <n v="7"/>
    <s v="76%"/>
    <s v="Cursando"/>
    <n v="58"/>
    <n v="44"/>
  </r>
  <r>
    <s v="Colaborador_320"/>
    <s v="SUPERVISOR DE LOGISTICA"/>
    <s v="SUPERVISOR"/>
    <s v="MAT_320"/>
    <s v="Unidade_320"/>
    <s v="BAHIA"/>
    <x v="0"/>
    <x v="319"/>
    <s v="ALMOXARIFADO DE PRODUTO ACABADO"/>
    <s v="Líder_Imed_320"/>
    <s v="Concluído"/>
    <n v="7"/>
    <s v="18%"/>
    <s v="Cursando"/>
    <n v="66"/>
    <n v="12"/>
  </r>
  <r>
    <s v="Colaborador_321"/>
    <s v="ASSISTENTE DE OP LOGISTICA III"/>
    <s v="ASSISTENTE"/>
    <s v="MAT_321"/>
    <s v="Unidade_321"/>
    <s v="PARAIBA"/>
    <x v="0"/>
    <x v="320"/>
    <s v="FATURAMENTO"/>
    <s v="Líder_Imed_321"/>
    <s v="Concluído"/>
    <n v="9"/>
    <s v="100%"/>
    <s v="Concluído"/>
    <n v="106"/>
    <n v="106"/>
  </r>
  <r>
    <s v="Colaborador_322"/>
    <s v="COORDENADOR DE LOGISTICA"/>
    <s v="COORDENADOR"/>
    <s v="MAT_322"/>
    <s v="Unidade_322"/>
    <s v="PARAIBA"/>
    <x v="0"/>
    <x v="321"/>
    <s v="TRANSP DISTRIBUIÇÃO - DENTRO DO ESTADO"/>
    <s v="Líder_Imed_322"/>
    <s v="Concluído"/>
    <n v="7"/>
    <s v="100%"/>
    <s v="Concluído"/>
    <n v="118"/>
    <n v="118"/>
  </r>
  <r>
    <s v="Colaborador_323"/>
    <s v="ANALISTA DE CUSTOMER SERVICE I"/>
    <s v="PROFISSIONAIS_I"/>
    <s v="MAT_323"/>
    <s v="Unidade_323"/>
    <s v="SAO PAULO"/>
    <x v="2"/>
    <x v="322"/>
    <s v="CUSTOMER SERVICE INTERNO"/>
    <s v="Líder_Imed_323"/>
    <s v="Concluído"/>
    <n v="7"/>
    <s v="100%"/>
    <s v="Concluído"/>
    <n v="52"/>
    <n v="52"/>
  </r>
  <r>
    <s v="Colaborador_324"/>
    <s v="ANALISTA DE PLANEJ LOGIST III"/>
    <s v="PROFISSIONAIS_III"/>
    <s v="MAT_324"/>
    <s v="Unidade_324"/>
    <s v="CEARA"/>
    <x v="3"/>
    <x v="323"/>
    <s v="PLANEJAMENTO E ANÁLISE DE MALHA"/>
    <s v="Líder_Imed_324"/>
    <s v="Concluído"/>
    <n v="9"/>
    <s v="90%"/>
    <s v="Cursando"/>
    <n v="78"/>
    <n v="70"/>
  </r>
  <r>
    <s v="Colaborador_325"/>
    <s v="ESPECIALISTA DE LOGISTICA"/>
    <s v="ESPECIALISTA"/>
    <s v="MAT_325"/>
    <s v="Unidade_325"/>
    <s v="PERNAMBUCO"/>
    <x v="1"/>
    <x v="324"/>
    <s v="MELHORIA CONTÍNUA"/>
    <s v="Líder_Imed_325"/>
    <s v="Concluído"/>
    <n v="5"/>
    <s v="45%"/>
    <s v="Cursando"/>
    <n v="62"/>
    <n v="28"/>
  </r>
  <r>
    <s v="Colaborador_326"/>
    <s v="GERENTE REGIONAL DE LOGISTICA"/>
    <s v="GERENTE"/>
    <s v="MAT_326"/>
    <s v="Unidade_326"/>
    <s v="RIO DE JANEIRO"/>
    <x v="0"/>
    <x v="325"/>
    <s v="DISTRIBUIÇÃO"/>
    <s v="Líder_Imed_326"/>
    <s v="Concluído"/>
    <n v="6"/>
    <s v="100%"/>
    <s v="Concluído"/>
    <n v="81"/>
    <n v="81"/>
  </r>
  <r>
    <s v="Colaborador_327"/>
    <s v="ASSISTENTE DE OP LOGISTICA I"/>
    <s v="ASSISTENTE"/>
    <s v="MAT_327"/>
    <s v="Unidade_327"/>
    <s v="CEARA"/>
    <x v="0"/>
    <x v="326"/>
    <s v="GESTÃO DE TRANSPORTES"/>
    <s v="Líder_Imed_327"/>
    <s v="Concluído"/>
    <n v="9"/>
    <s v="100%"/>
    <s v="Concluído"/>
    <n v="106"/>
    <n v="106"/>
  </r>
  <r>
    <s v="Colaborador_328"/>
    <s v="SUPERVISOR DE LOGISTICA"/>
    <s v="SUPERVISOR"/>
    <s v="MAT_328"/>
    <s v="Unidade_328"/>
    <s v="PERNAMBUCO"/>
    <x v="0"/>
    <x v="327"/>
    <s v="ALMOXARIFADO DE PRODUTO ACABADO SUPORTE"/>
    <s v="Líder_Imed_328"/>
    <s v="Concluído"/>
    <n v="7"/>
    <s v="100%"/>
    <s v="Concluído"/>
    <n v="82"/>
    <n v="82"/>
  </r>
  <r>
    <s v="Colaborador_329"/>
    <s v="ASSISTENTE DE OP LOGISTICA II"/>
    <s v="ASSISTENTE"/>
    <s v="MAT_329"/>
    <s v="Unidade_329"/>
    <s v="SERGIPE"/>
    <x v="0"/>
    <x v="328"/>
    <s v="TRANSP DISTRIBUIÇÃO - DENTRO DO ESTADO"/>
    <s v="Líder_Imed_329"/>
    <s v="Concluído"/>
    <n v="9"/>
    <s v="9%"/>
    <s v="Cursando"/>
    <n v="106"/>
    <n v="10"/>
  </r>
  <r>
    <s v="Colaborador_330"/>
    <s v="SUPERVISOR DE LOGISTICA"/>
    <s v="SUPERVISOR"/>
    <s v="MAT_330"/>
    <s v="Unidade_330"/>
    <s v="SAO PAULO"/>
    <x v="0"/>
    <x v="329"/>
    <s v="DISTRIBUIÇÃO"/>
    <s v="Líder_Imed_330"/>
    <s v="Concluído"/>
    <n v="5"/>
    <s v="100%"/>
    <s v="Concluído"/>
    <n v="76"/>
    <n v="76"/>
  </r>
  <r>
    <s v="Colaborador_331"/>
    <s v="SUPERVISOR DE LOGISTICA"/>
    <s v="SUPERVISOR"/>
    <s v="MAT_331"/>
    <s v="Unidade_331"/>
    <s v="SAO PAULO"/>
    <x v="0"/>
    <x v="330"/>
    <s v="TRANSP DISTRIBUIÇÃO - DENTRO DO ESTADO"/>
    <s v="Líder_Imed_331"/>
    <s v="Concluído"/>
    <n v="7"/>
    <s v="100%"/>
    <s v="Concluído"/>
    <n v="98"/>
    <n v="98"/>
  </r>
  <r>
    <s v="Colaborador_332"/>
    <s v="GERENTE REGIONAL DE LOGISTICA"/>
    <s v="GERENTE"/>
    <s v="MAT_332"/>
    <s v="Unidade_332"/>
    <s v="RIO GRANDE DO SUL"/>
    <x v="0"/>
    <x v="331"/>
    <s v="REGIONAL DE LOGÍSTICA SUPORTE REGIONAL"/>
    <s v="Líder_Imed_332"/>
    <s v="Concluído"/>
    <n v="7"/>
    <s v="100%"/>
    <s v="Concluído"/>
    <n v="84"/>
    <n v="84"/>
  </r>
  <r>
    <s v="Colaborador_333"/>
    <s v="ANALISTA DE LOGISTICA I"/>
    <s v="PROFISSIONAIS_I"/>
    <s v="MAT_333"/>
    <s v="Unidade_333"/>
    <s v="SERGIPE"/>
    <x v="0"/>
    <x v="332"/>
    <s v="TRANSP DISTRIBUIÇÃO - DENTRO DO ESTADO"/>
    <s v="Líder_Imed_333"/>
    <s v="Concluído"/>
    <n v="7"/>
    <s v="100%"/>
    <s v="Concluído"/>
    <n v="80"/>
    <n v="80"/>
  </r>
  <r>
    <s v="Colaborador_334"/>
    <s v="GERENTE REGIONAL DE LOGISTICA"/>
    <s v="GERENTE"/>
    <s v="MAT_334"/>
    <s v="Unidade_334"/>
    <s v="CEARA"/>
    <x v="0"/>
    <x v="333"/>
    <s v="REGIONAL DE LOGÍSTICA SUPORTE REGIONAL"/>
    <s v="Líder_Imed_334"/>
    <s v="Concluído"/>
    <n v="7"/>
    <s v="54%"/>
    <s v="Cursando"/>
    <n v="82"/>
    <n v="44"/>
  </r>
  <r>
    <s v="Colaborador_335"/>
    <s v="ANALISTA DE PLANEJ LOGIST II"/>
    <s v="PROFISSIONAIS_II"/>
    <s v="MAT_335"/>
    <s v="Unidade_335"/>
    <s v="RIO DE JANEIRO"/>
    <x v="1"/>
    <x v="334"/>
    <s v="SUPPLY CHAIN"/>
    <s v="Líder_Imed_335"/>
    <s v="Concluído"/>
    <n v="5"/>
    <s v="100%"/>
    <s v="Concluído"/>
    <n v="62"/>
    <n v="62"/>
  </r>
  <r>
    <s v="Colaborador_336"/>
    <s v="ANALISTA DE LOGISTICA I"/>
    <s v="PROFISSIONAIS_I"/>
    <s v="MAT_336"/>
    <s v="Unidade_336"/>
    <s v="SAO PAULO"/>
    <x v="0"/>
    <x v="335"/>
    <s v="DISTRIBUIÇÃO"/>
    <s v="Líder_Imed_336"/>
    <s v="Concluído"/>
    <n v="9"/>
    <s v="100%"/>
    <s v="Concluído"/>
    <n v="100"/>
    <n v="100"/>
  </r>
  <r>
    <s v="Colaborador_337"/>
    <s v="ASSISTENTE DE OP LOGISTICA III"/>
    <s v="ASSISTENTE"/>
    <s v="MAT_337"/>
    <s v="Unidade_337"/>
    <s v="PARAIBA"/>
    <x v="0"/>
    <x v="336"/>
    <s v="TRANSP DISTRIBUIÇÃO - DENTRO DO ESTADO"/>
    <s v="Líder_Imed_337"/>
    <s v="Concluído"/>
    <n v="9"/>
    <s v="100%"/>
    <s v="Concluído"/>
    <n v="72"/>
    <n v="72"/>
  </r>
  <r>
    <s v="Colaborador_338"/>
    <s v="GERENTE EXECUTIVO PLANEJ INTEGRADO"/>
    <s v="GERENTE"/>
    <s v="MAT_338"/>
    <s v="Unidade_338"/>
    <s v="SAO PAULO"/>
    <x v="1"/>
    <x v="337"/>
    <s v="PLANEJAMENTO INTEGRADO"/>
    <s v="Líder_Imed_338"/>
    <s v="Concluído"/>
    <n v="7"/>
    <s v="100%"/>
    <s v="Concluído"/>
    <n v="78"/>
    <n v="78"/>
  </r>
  <r>
    <s v="Colaborador_339"/>
    <s v="ESTAGIARIO"/>
    <s v="ESTAGIARIO"/>
    <s v="MAT_339"/>
    <s v="Unidade_339"/>
    <s v="CEARA"/>
    <x v="1"/>
    <x v="338"/>
    <s v="DEMANDA"/>
    <s v="Líder_Imed_339"/>
    <s v="Concluído"/>
    <n v="9"/>
    <s v="6%"/>
    <s v="Cursando"/>
    <n v="80"/>
    <n v="5"/>
  </r>
  <r>
    <s v="Colaborador_340"/>
    <s v="COORDENADOR DE LOGISTICA"/>
    <s v="COORDENADOR"/>
    <s v="MAT_340"/>
    <s v="Unidade_340"/>
    <s v="PERNAMBUCO"/>
    <x v="0"/>
    <x v="339"/>
    <s v="ALMOXARIFADO DE EMBALAGENS"/>
    <s v="Líder_Imed_340"/>
    <s v="Concluído"/>
    <n v="7"/>
    <s v="100%"/>
    <s v="Concluído"/>
    <n v="84"/>
    <n v="84"/>
  </r>
  <r>
    <s v="Colaborador_341"/>
    <s v="ANALISTA DE CUSTOMER SERVICE II"/>
    <s v="PROFISSIONAIS_II"/>
    <s v="MAT_341"/>
    <s v="Unidade_341"/>
    <s v="SAO PAULO"/>
    <x v="2"/>
    <x v="340"/>
    <s v="CUSTOMER SERVICE EXTERNO"/>
    <s v="Líder_Imed_341"/>
    <s v="Concluído"/>
    <n v="7"/>
    <s v="100%"/>
    <s v="Concluído"/>
    <n v="78"/>
    <n v="78"/>
  </r>
  <r>
    <s v="Colaborador_342"/>
    <s v="COORDENADOR DE PLANEJAMENTO LOGISTI"/>
    <s v="COORDENADOR"/>
    <s v="MAT_342"/>
    <s v="Unidade_342"/>
    <s v="CEARA"/>
    <x v="0"/>
    <x v="341"/>
    <s v="CENTRAL DE PAGAMENTOS"/>
    <s v="Líder_Imed_342"/>
    <s v="Concluído"/>
    <n v="7"/>
    <s v="43%"/>
    <s v="Cursando"/>
    <n v="82"/>
    <n v="35"/>
  </r>
  <r>
    <s v="Colaborador_343"/>
    <s v="ANALISTA DE CUSTOMER SERVICE III"/>
    <s v="PROFISSIONAIS_III"/>
    <s v="MAT_343"/>
    <s v="Unidade_343"/>
    <s v="CEARA"/>
    <x v="2"/>
    <x v="342"/>
    <s v="CUSTOMER SERVICE INTERNO"/>
    <s v="Líder_Imed_343"/>
    <s v="Concluído"/>
    <n v="9"/>
    <s v="57%"/>
    <s v="Cursando"/>
    <n v="80"/>
    <n v="46"/>
  </r>
  <r>
    <s v="Colaborador_344"/>
    <s v="ANALISTA DE CUSTOMER SERVICE II"/>
    <s v="PROFISSIONAIS_II"/>
    <s v="MAT_344"/>
    <s v="Unidade_344"/>
    <s v="CEARA"/>
    <x v="2"/>
    <x v="343"/>
    <s v="CUSTOMER SERVICE INTERNO"/>
    <s v="Líder_Imed_344"/>
    <s v="Concluído"/>
    <n v="7"/>
    <s v="94%"/>
    <s v="Cursando"/>
    <n v="94"/>
    <n v="88"/>
  </r>
  <r>
    <s v="Colaborador_345"/>
    <s v="SUPERVISOR DE LOGISTICA"/>
    <s v="SUPERVISOR"/>
    <s v="MAT_345"/>
    <s v="Unidade_345"/>
    <s v="CEARA"/>
    <x v="0"/>
    <x v="344"/>
    <s v="FATURAMENTO"/>
    <s v="Líder_Imed_345"/>
    <s v="Concluído"/>
    <n v="7"/>
    <s v="100%"/>
    <s v="Concluído"/>
    <n v="66"/>
    <n v="66"/>
  </r>
  <r>
    <s v="Colaborador_346"/>
    <s v="ASSISTENTE DE OP LOGISTICA I"/>
    <s v="ASSISTENTE"/>
    <s v="MAT_346"/>
    <s v="Unidade_346"/>
    <s v="RIO GRANDE DO SUL"/>
    <x v="0"/>
    <x v="345"/>
    <s v="REGIONAL DE LOGÍSTICA SUPORTE REGIONAL"/>
    <s v="Líder_Imed_346"/>
    <s v="Concluído"/>
    <n v="28"/>
    <s v="100%"/>
    <s v="Concluído"/>
    <n v="78"/>
    <n v="78"/>
  </r>
  <r>
    <s v="Colaborador_347"/>
    <s v="ASSISTENTE ADMINISTRATIVO"/>
    <s v="ASSISTENTE"/>
    <s v="MAT_347"/>
    <s v="Unidade_347"/>
    <s v="PERNAMBUCO"/>
    <x v="0"/>
    <x v="346"/>
    <s v="ALMOXARIFADO DE PRODUTO ACABADO SUPORTE"/>
    <s v="Líder_Imed_347"/>
    <s v="Concluído"/>
    <n v="7"/>
    <s v="100%"/>
    <s v="Concluído"/>
    <n v="62"/>
    <n v="62"/>
  </r>
  <r>
    <s v="Colaborador_348"/>
    <s v="COORDENADOR DE CUSTOMER SERVICE"/>
    <s v="COORDENADOR"/>
    <s v="MAT_348"/>
    <s v="Unidade_348"/>
    <s v="CEARA"/>
    <x v="2"/>
    <x v="347"/>
    <s v="CUSTOMER SERVICE INTERNO"/>
    <s v="Líder_Imed_348"/>
    <s v="Concluído"/>
    <n v="6"/>
    <s v="18%"/>
    <s v="Cursando"/>
    <n v="65"/>
    <n v="12"/>
  </r>
  <r>
    <s v="Colaborador_349"/>
    <s v="ANALISTA DE PLANEJ LOGIST III"/>
    <s v="PROFISSIONAIS_III"/>
    <s v="MAT_349"/>
    <s v="Unidade_349"/>
    <s v="CEARA"/>
    <x v="4"/>
    <x v="348"/>
    <s v="CUSTOS LOGÍSTICOS E ORÇAMENTO CORP"/>
    <s v="Líder_Imed_349"/>
    <s v="Concluído"/>
    <n v="18"/>
    <s v="100%"/>
    <s v="Concluído"/>
    <n v="80"/>
    <n v="80"/>
  </r>
  <r>
    <s v="Colaborador_350"/>
    <s v="ESPECIALISTA DE LOGISTICA"/>
    <s v="ESPECIALISTA"/>
    <s v="MAT_350"/>
    <s v="Unidade_350"/>
    <s v="SAO PAULO"/>
    <x v="3"/>
    <x v="349"/>
    <s v="PLANEJAMENTO E ANÁLISE DE MALHA"/>
    <s v="Líder_Imed_350"/>
    <s v="Concluído"/>
    <n v="7"/>
    <s v="42%"/>
    <s v="Cursando"/>
    <n v="84"/>
    <n v="35"/>
  </r>
  <r>
    <s v="Colaborador_351"/>
    <s v="ANALISTA DE PLANEJ LOGIST II"/>
    <s v="PROFISSIONAIS_II"/>
    <s v="MAT_351"/>
    <s v="Unidade_351"/>
    <s v="CEARA"/>
    <x v="1"/>
    <x v="350"/>
    <s v="SUPPLY CHAIN"/>
    <s v="Líder_Imed_351"/>
    <s v="Concluído"/>
    <n v="9"/>
    <s v="100%"/>
    <s v="Concluído"/>
    <n v="80"/>
    <n v="80"/>
  </r>
  <r>
    <s v="Colaborador_352"/>
    <s v="ANALISTA DE CUSTOMER SERVICE II"/>
    <s v="PROFISSIONAIS_II"/>
    <s v="MAT_352"/>
    <s v="Unidade_352"/>
    <s v="CEARA"/>
    <x v="2"/>
    <x v="351"/>
    <s v="CUSTOMER SERVICE INTERNO"/>
    <s v="Líder_Imed_352"/>
    <s v="Concluído"/>
    <n v="5"/>
    <s v="100%"/>
    <s v="Concluído"/>
    <n v="68"/>
    <n v="68"/>
  </r>
  <r>
    <s v="Colaborador_353"/>
    <s v="GERENTE DE PLANEJ LOGISTICO"/>
    <s v="GERENTE"/>
    <s v="MAT_353"/>
    <s v="Unidade_353"/>
    <s v="CEARA"/>
    <x v="1"/>
    <x v="352"/>
    <s v="PLANEJAMENTO DE PRODUÇÃO E ABASTECIMENTO"/>
    <s v="Líder_Imed_353"/>
    <s v="Concluído"/>
    <n v="7"/>
    <s v="62%"/>
    <s v="Cursando"/>
    <n v="84"/>
    <n v="52"/>
  </r>
  <r>
    <s v="Colaborador_354"/>
    <s v="ASSISTENTE DE OP LOGISTICA II"/>
    <s v="ASSISTENTE"/>
    <s v="MAT_354"/>
    <s v="Unidade_354"/>
    <s v="CEARA"/>
    <x v="0"/>
    <x v="353"/>
    <s v="TRANSP DIST FARINHA - DENTRO DO ESTADO"/>
    <s v="Líder_Imed_354"/>
    <s v="Concluído"/>
    <n v="7"/>
    <s v="41%"/>
    <s v="Cursando"/>
    <n v="64"/>
    <n v="26"/>
  </r>
  <r>
    <s v="Colaborador_355"/>
    <s v="COORDENADOR DE CUSTOMER SERVICE"/>
    <s v="COORDENADOR"/>
    <s v="MAT_355"/>
    <s v="Unidade_355"/>
    <s v="CEARA"/>
    <x v="2"/>
    <x v="354"/>
    <s v="CUSTOMER SERVICE INTERNO"/>
    <s v="Líder_Imed_355"/>
    <s v="Concluído"/>
    <n v="6"/>
    <s v="100%"/>
    <s v="Concluído"/>
    <n v="81"/>
    <n v="81"/>
  </r>
  <r>
    <s v="Colaborador_356"/>
    <s v="ANALISTA DE PLANEJ LOGIST I"/>
    <s v="PROFISSIONAIS_I"/>
    <s v="MAT_356"/>
    <s v="Unidade_356"/>
    <s v="CEARA"/>
    <x v="0"/>
    <x v="355"/>
    <s v="GESTÃO DE TRANSPORTES"/>
    <s v="Líder_Imed_356"/>
    <s v="Concluído"/>
    <n v="9"/>
    <s v="100%"/>
    <s v="Concluído"/>
    <n v="106"/>
    <n v="106"/>
  </r>
  <r>
    <s v="Colaborador_357"/>
    <s v="GERENTE DE PLANEJ LOGISTICO"/>
    <s v="GERENTE"/>
    <s v="MAT_357"/>
    <s v="Unidade_357"/>
    <s v="CEARA"/>
    <x v="1"/>
    <x v="356"/>
    <s v="PLANEJAMENTO INTEGRADO"/>
    <s v="Líder_Imed_357"/>
    <s v="Concluído"/>
    <n v="6"/>
    <s v="100%"/>
    <s v="Concluído"/>
    <n v="81"/>
    <n v="81"/>
  </r>
  <r>
    <s v="Colaborador_358"/>
    <s v="ASSISTENTE DE OP LOGISTICA II"/>
    <s v="ASSISTENTE"/>
    <s v="MAT_358"/>
    <s v="Unidade_358"/>
    <s v="CEARA"/>
    <x v="0"/>
    <x v="357"/>
    <s v="CENTRAL DE PAGAMENTOS"/>
    <s v="Líder_Imed_358"/>
    <s v="Concluído"/>
    <n v="9"/>
    <s v="100%"/>
    <s v="Concluído"/>
    <n v="72"/>
    <n v="72"/>
  </r>
  <r>
    <s v="Colaborador_359"/>
    <s v="ASSISTENTE DE OP LOGISTICA III"/>
    <s v="ASSISTENTE"/>
    <s v="MAT_359"/>
    <s v="Unidade_359"/>
    <s v="RIO GRANDE DO SUL"/>
    <x v="0"/>
    <x v="358"/>
    <s v="FATURAMENTO"/>
    <s v="Líder_Imed_359"/>
    <s v="Concluído"/>
    <n v="9"/>
    <s v="100%"/>
    <s v="Concluído"/>
    <n v="84"/>
    <n v="84"/>
  </r>
  <r>
    <s v="Colaborador_360"/>
    <s v="ANALISTA DE PLANEJ LOGIST I"/>
    <s v="PROFISSIONAIS_I"/>
    <s v="MAT_360"/>
    <s v="Unidade_360"/>
    <s v="CEARA"/>
    <x v="0"/>
    <x v="359"/>
    <s v="CENTRAL DE ROTEIRIZAÇÃO"/>
    <s v="Líder_Imed_360"/>
    <s v="Concluído"/>
    <n v="9"/>
    <s v="100%"/>
    <s v="Concluído"/>
    <n v="80"/>
    <n v="80"/>
  </r>
  <r>
    <s v="Colaborador_361"/>
    <s v="SUPERVISOR DE LOGISTICA"/>
    <s v="SUPERVISOR"/>
    <s v="MAT_361"/>
    <s v="Unidade_361"/>
    <s v="SAO PAULO"/>
    <x v="0"/>
    <x v="360"/>
    <s v="DISTRIBUIÇÃO"/>
    <s v="Líder_Imed_361"/>
    <s v="Concluído"/>
    <n v="7"/>
    <s v="100%"/>
    <s v="Concluído"/>
    <n v="98"/>
    <n v="98"/>
  </r>
  <r>
    <s v="Colaborador_362"/>
    <s v="ANALISTA DE PLANEJ LOGIST III"/>
    <s v="PROFISSIONAIS_III"/>
    <s v="MAT_362"/>
    <s v="Unidade_362"/>
    <s v="CEARA"/>
    <x v="1"/>
    <x v="361"/>
    <s v="DEMANDA"/>
    <s v="Líder_Imed_362"/>
    <s v="Concluído"/>
    <n v="7"/>
    <s v="92%"/>
    <s v="Cursando"/>
    <n v="78"/>
    <n v="72"/>
  </r>
  <r>
    <s v="Colaborador_363"/>
    <s v="ANALISTA DE LOGISTICA I"/>
    <s v="PROFISSIONAIS_I"/>
    <s v="MAT_363"/>
    <s v="Unidade_363"/>
    <s v="MINAS GERAIS"/>
    <x v="0"/>
    <x v="362"/>
    <s v="ALMOXARIFADO DE PRODUTO ACABADO"/>
    <s v="Líder_Imed_363"/>
    <s v="Concluído"/>
    <n v="7"/>
    <s v="100%"/>
    <s v="Concluído"/>
    <n v="76"/>
    <n v="76"/>
  </r>
  <r>
    <s v="Colaborador_364"/>
    <s v="ESPECIALISTA DE LOGISTICA"/>
    <s v="ESPECIALISTA"/>
    <s v="MAT_364"/>
    <s v="Unidade_364"/>
    <s v="RIO GRANDE DO SUL"/>
    <x v="0"/>
    <x v="363"/>
    <s v="REGIONAL DE LOGÍSTICA SUPORTE REGIONAL"/>
    <s v="Líder_Imed_364"/>
    <s v="Concluído"/>
    <n v="7"/>
    <s v="100%"/>
    <s v="Concluído"/>
    <n v="66"/>
    <n v="66"/>
  </r>
  <r>
    <s v="Colaborador_365"/>
    <s v="ASSISTENTE DE OP LOGISTICA I"/>
    <s v="ASSISTENTE"/>
    <s v="MAT_365"/>
    <s v="Unidade_365"/>
    <s v="RIO GRANDE DO SUL"/>
    <x v="0"/>
    <x v="364"/>
    <s v="REGIONAL DE LOGÍSTICA SUPORTE REGIONAL"/>
    <s v="Líder_Imed_365"/>
    <s v="Concluído"/>
    <n v="9"/>
    <s v="84%"/>
    <s v="Cursando"/>
    <n v="86"/>
    <n v="72"/>
  </r>
  <r>
    <s v="Colaborador_366"/>
    <s v="SUPERVISOR DE LOGISTICA"/>
    <s v="SUPERVISOR"/>
    <s v="MAT_366"/>
    <s v="Unidade_366"/>
    <s v="CEARA"/>
    <x v="0"/>
    <x v="365"/>
    <s v="TRANSP DISTRIBUIÇÃO - DENTRO DO ESTADO"/>
    <s v="Líder_Imed_366"/>
    <s v="Concluído"/>
    <n v="6"/>
    <s v="41%"/>
    <s v="Cursando"/>
    <n v="97"/>
    <n v="40"/>
  </r>
  <r>
    <s v="Colaborador_367"/>
    <s v="ANALISTA DE LOGISTICA I"/>
    <s v="PROFISSIONAIS_I"/>
    <s v="MAT_367"/>
    <s v="Unidade_367"/>
    <s v="SAO PAULO"/>
    <x v="0"/>
    <x v="366"/>
    <s v="DISTRIBUIÇÃO"/>
    <s v="Líder_Imed_367"/>
    <s v="Concluído"/>
    <n v="9"/>
    <s v="100%"/>
    <s v="Concluído"/>
    <n v="104"/>
    <n v="104"/>
  </r>
  <r>
    <s v="Colaborador_368"/>
    <s v="ANALISTA DE PLANEJ LOGIST III"/>
    <s v="PROFISSIONAIS_III"/>
    <s v="MAT_368"/>
    <s v="Unidade_368"/>
    <s v="CEARA"/>
    <x v="0"/>
    <x v="367"/>
    <s v="GESTÃO DE TRANSPORTES"/>
    <s v="Líder_Imed_368"/>
    <s v="Concluído"/>
    <n v="7"/>
    <s v="68%"/>
    <s v="Cursando"/>
    <n v="78"/>
    <n v="53"/>
  </r>
  <r>
    <s v="Colaborador_369"/>
    <s v="ASSISTENTE DE OP LOGISTICA I"/>
    <s v="ASSISTENTE"/>
    <s v="MAT_369"/>
    <s v="Unidade_369"/>
    <s v="CEARA"/>
    <x v="4"/>
    <x v="368"/>
    <s v="CUSTOS LOGÍSTICOS E ORÇAMENTO CORP"/>
    <s v="Líder_Imed_369"/>
    <s v="Concluído"/>
    <n v="9"/>
    <s v="100%"/>
    <s v="Concluído"/>
    <n v="80"/>
    <n v="80"/>
  </r>
  <r>
    <s v="Colaborador_370"/>
    <s v="ASSISTENTE ADMINISTRATIVO"/>
    <s v="ASSISTENTE"/>
    <s v="MAT_370"/>
    <s v="Unidade_370"/>
    <s v="PERNAMBUCO"/>
    <x v="0"/>
    <x v="369"/>
    <s v="REGIONAL DE LOGÍSTICA SUPORTE REGIONAL"/>
    <s v="Líder_Imed_370"/>
    <s v="Concluído"/>
    <n v="9"/>
    <s v="100%"/>
    <s v="Concluído"/>
    <n v="86"/>
    <n v="86"/>
  </r>
  <r>
    <s v="Colaborador_371"/>
    <s v="ESTAGIARIO"/>
    <s v="ESTAGIARIO"/>
    <s v="MAT_371"/>
    <s v="Unidade_371"/>
    <s v="SAO PAULO"/>
    <x v="1"/>
    <x v="370"/>
    <s v="SUPPLY CHAIN"/>
    <s v="Líder_Imed_371"/>
    <s v="Concluído"/>
    <n v="9"/>
    <s v="100%"/>
    <s v="Concluído"/>
    <n v="80"/>
    <n v="80"/>
  </r>
  <r>
    <s v="Colaborador_372"/>
    <s v="ANALISTA DE PLANEJ LOGIST I"/>
    <s v="PROFISSIONAIS_I"/>
    <s v="MAT_372"/>
    <s v="Unidade_372"/>
    <s v="BAHIA"/>
    <x v="1"/>
    <x v="371"/>
    <s v="SUPPLY CHAIN"/>
    <s v="Líder_Imed_372"/>
    <s v="Concluído"/>
    <n v="7"/>
    <s v="55%"/>
    <s v="Cursando"/>
    <n v="64"/>
    <n v="35"/>
  </r>
  <r>
    <s v="Colaborador_373"/>
    <s v="ASSISTENTE DE OP LOGISTICA II"/>
    <s v="ASSISTENTE"/>
    <s v="MAT_373"/>
    <s v="Unidade_373"/>
    <s v="CEARA"/>
    <x v="0"/>
    <x v="372"/>
    <s v="ALMOXARIFADO DE PRODUTO ACABADO"/>
    <s v="Líder_Imed_373"/>
    <s v="Concluído"/>
    <n v="9"/>
    <s v="100%"/>
    <s v="Concluído"/>
    <n v="104"/>
    <n v="104"/>
  </r>
  <r>
    <s v="Colaborador_374"/>
    <s v="ASSISTENTE DE OP LOGISTICA II"/>
    <s v="ASSISTENTE"/>
    <s v="MAT_374"/>
    <s v="Unidade_374"/>
    <s v="RIO DE JANEIRO"/>
    <x v="0"/>
    <x v="373"/>
    <s v="ALMOXARIFADO DE PRODUTO ACABADO"/>
    <s v="Líder_Imed_374"/>
    <s v="Concluído"/>
    <n v="7"/>
    <s v="50%"/>
    <s v="Cursando"/>
    <n v="58"/>
    <n v="29"/>
  </r>
  <r>
    <s v="Colaborador_375"/>
    <s v="ANALISTA DE PLANEJ LOGIST III"/>
    <s v="PROFISSIONAIS_III"/>
    <s v="MAT_375"/>
    <s v="Unidade_375"/>
    <s v="SAO PAULO"/>
    <x v="1"/>
    <x v="374"/>
    <s v="SUPPLY CHAIN"/>
    <s v="Líder_Imed_375"/>
    <s v="Concluído"/>
    <n v="5"/>
    <s v="100%"/>
    <s v="Concluído"/>
    <n v="68"/>
    <n v="68"/>
  </r>
  <r>
    <s v="Colaborador_376"/>
    <s v="GERENTE DE CUSTOMER SERVICE"/>
    <s v="GERENTE"/>
    <s v="MAT_376"/>
    <s v="Unidade_376"/>
    <s v="CEARA"/>
    <x v="2"/>
    <x v="375"/>
    <s v="CUSTOMER SERVICE INTERNO"/>
    <s v="Líder_Imed_376"/>
    <s v="Concluído"/>
    <n v="5"/>
    <s v="100%"/>
    <s v="Concluído"/>
    <n v="64"/>
    <n v="64"/>
  </r>
  <r>
    <s v="Colaborador_377"/>
    <s v="ASSISTENTE DE OP LOGISTICA I"/>
    <s v="ASSISTENTE"/>
    <s v="MAT_377"/>
    <s v="Unidade_377"/>
    <s v="CEARA"/>
    <x v="0"/>
    <x v="376"/>
    <s v="GESTÃO DE TRANSPORTES"/>
    <s v="Líder_Imed_377"/>
    <s v="Concluído"/>
    <n v="7"/>
    <s v="29%"/>
    <s v="Cursando"/>
    <n v="62"/>
    <n v="18"/>
  </r>
  <r>
    <s v="Colaborador_378"/>
    <s v="ASSISTENTE DE OP LOGISTICA II"/>
    <s v="ASSISTENTE"/>
    <s v="MAT_378"/>
    <s v="Unidade_378"/>
    <s v="CEARA"/>
    <x v="0"/>
    <x v="377"/>
    <s v="GESTÃO DE TRANSPORTES"/>
    <s v="Líder_Imed_378"/>
    <s v="Concluído"/>
    <n v="9"/>
    <s v="100%"/>
    <s v="Concluído"/>
    <n v="102"/>
    <n v="102"/>
  </r>
  <r>
    <s v="Colaborador_379"/>
    <s v="ANALISTA DE PLANEJ LOGIST I"/>
    <s v="PROFISSIONAIS_I"/>
    <s v="MAT_379"/>
    <s v="Unidade_379"/>
    <s v="CEARA"/>
    <x v="1"/>
    <x v="378"/>
    <s v="PLANEJAMENTO DE PRODUÇÃO E ABASTECIMENTO"/>
    <s v="Líder_Imed_379"/>
    <s v="Concluído"/>
    <n v="7"/>
    <s v="100%"/>
    <s v="Concluído"/>
    <n v="64"/>
    <n v="64"/>
  </r>
  <r>
    <s v="Colaborador_380"/>
    <s v="ANALISTA DE LOGISTICA I"/>
    <s v="PROFISSIONAIS_I"/>
    <s v="MAT_380"/>
    <s v="Unidade_380"/>
    <s v="CEARA"/>
    <x v="0"/>
    <x v="379"/>
    <s v="ALMOXARIFADO DE PRODUTO ACABADO"/>
    <s v="Líder_Imed_380"/>
    <s v="Concluído"/>
    <n v="9"/>
    <s v="100%"/>
    <s v="Concluído"/>
    <n v="81"/>
    <n v="81"/>
  </r>
  <r>
    <s v="Colaborador_381"/>
    <s v="COORDENADOR DE PLANEJAMENTO LOGISTI"/>
    <s v="COORDENADOR"/>
    <s v="MAT_381"/>
    <s v="Unidade_381"/>
    <s v="CEARA"/>
    <x v="1"/>
    <x v="380"/>
    <s v="PLANEJAMENTO DE PRODUÇÃO E ABASTECIMENTO"/>
    <s v="Líder_Imed_381"/>
    <s v="Concluído"/>
    <n v="5"/>
    <s v="90%"/>
    <s v="Cursando"/>
    <n v="62"/>
    <n v="56"/>
  </r>
  <r>
    <s v="Colaborador_382"/>
    <s v="ASSISTENTE DE OP LOGISTICA II"/>
    <s v="ASSISTENTE"/>
    <s v="MAT_382"/>
    <s v="Unidade_382"/>
    <s v="PERNAMBUCO"/>
    <x v="0"/>
    <x v="381"/>
    <s v="ALMOXARIFADO DE MATÉRIA-PRIMA"/>
    <s v="Líder_Imed_382"/>
    <s v="Concluído"/>
    <n v="7"/>
    <s v="100%"/>
    <s v="Concluído"/>
    <n v="72"/>
    <n v="72"/>
  </r>
  <r>
    <s v="Colaborador_383"/>
    <s v="ASSISTENTE ADMINISTRATIVO"/>
    <s v="ASSISTENTE"/>
    <s v="MAT_383"/>
    <s v="Unidade_383"/>
    <s v="PERNAMBUCO"/>
    <x v="0"/>
    <x v="382"/>
    <s v="TRANSP DISTRIBUIÇÃO - DENTRO DO ESTADO"/>
    <s v="Líder_Imed_383"/>
    <s v="Concluído"/>
    <n v="9"/>
    <s v="55%"/>
    <s v="Cursando"/>
    <n v="106"/>
    <n v="58"/>
  </r>
  <r>
    <s v="Colaborador_384"/>
    <s v="ASSISTENTE DE OP LOGISTICA II"/>
    <s v="ASSISTENTE"/>
    <s v="MAT_384"/>
    <s v="Unidade_384"/>
    <s v="SAO PAULO"/>
    <x v="0"/>
    <x v="383"/>
    <s v="FATURAMENTO"/>
    <s v="Líder_Imed_384"/>
    <s v="Concluído"/>
    <n v="9"/>
    <s v="100%"/>
    <s v="Concluído"/>
    <n v="78"/>
    <n v="78"/>
  </r>
  <r>
    <s v="Colaborador_385"/>
    <s v="ASSISTENTE ADMINISTRATIVO"/>
    <s v="ASSISTENTE"/>
    <s v="MAT_385"/>
    <s v="Unidade_385"/>
    <s v="PERNAMBUCO"/>
    <x v="0"/>
    <x v="384"/>
    <s v="TRANSP DISTRIBUIÇÃO - DENTRO DO ESTADO"/>
    <s v="Líder_Imed_385"/>
    <s v="Concluído"/>
    <n v="9"/>
    <s v="45%"/>
    <s v="Cursando"/>
    <n v="80"/>
    <n v="36"/>
  </r>
  <r>
    <s v="Colaborador_386"/>
    <s v="ASSISTENTE DE OP LOGISTICA I"/>
    <s v="ASSISTENTE"/>
    <s v="MAT_386"/>
    <s v="Unidade_386"/>
    <s v="PIAUI"/>
    <x v="0"/>
    <x v="385"/>
    <s v="ALMOXARIFADO DE PRODUTO ACABADO"/>
    <s v="Líder_Imed_386"/>
    <s v="Concluído"/>
    <n v="7"/>
    <s v="100%"/>
    <s v="Concluído"/>
    <n v="84"/>
    <n v="84"/>
  </r>
  <r>
    <s v="Colaborador_387"/>
    <s v="ANALISTA DE PLANEJ LOGIST II"/>
    <s v="PROFISSIONAIS_II"/>
    <s v="MAT_387"/>
    <s v="Unidade_387"/>
    <s v="CEARA"/>
    <x v="1"/>
    <x v="386"/>
    <s v="SUPPLY CHAIN"/>
    <s v="Líder_Imed_387"/>
    <s v="Concluído"/>
    <n v="7"/>
    <s v="100%"/>
    <s v="Concluído"/>
    <n v="78"/>
    <n v="78"/>
  </r>
  <r>
    <s v="Colaborador_388"/>
    <s v="ASSISTENTE DE OP LOGISTICA III"/>
    <s v="ASSISTENTE"/>
    <s v="MAT_388"/>
    <s v="Unidade_388"/>
    <s v="SAO PAULO"/>
    <x v="0"/>
    <x v="387"/>
    <s v="CUSTOS LOGÍSTICOS E ORÇAMENTO"/>
    <s v="Líder_Imed_388"/>
    <s v="Concluído"/>
    <n v="7"/>
    <s v="69%"/>
    <s v="Cursando"/>
    <n v="62"/>
    <n v="43"/>
  </r>
  <r>
    <s v="Colaborador_389"/>
    <s v="ASSISTENTE DE OP LOGISTICA III"/>
    <s v="ASSISTENTE"/>
    <s v="MAT_389"/>
    <s v="Unidade_389"/>
    <s v="CEARA"/>
    <x v="0"/>
    <x v="388"/>
    <s v="GESTÃO DE TRANSPORTES"/>
    <s v="Líder_Imed_389"/>
    <s v="Concluído"/>
    <n v="7"/>
    <s v="100%"/>
    <s v="Concluído"/>
    <n v="62"/>
    <n v="62"/>
  </r>
  <r>
    <s v="Colaborador_390"/>
    <s v="ESPECIALISTA DE LOGISTICA"/>
    <s v="ESPECIALISTA"/>
    <s v="MAT_390"/>
    <s v="Unidade_390"/>
    <s v="BAHIA"/>
    <x v="0"/>
    <x v="389"/>
    <s v="CUSTOS LOGÍSTICOS E ORÇAMENTO"/>
    <s v="Líder_Imed_390"/>
    <s v="Concluído"/>
    <n v="7"/>
    <s v="100%"/>
    <s v="Concluído"/>
    <n v="82"/>
    <n v="82"/>
  </r>
  <r>
    <s v="Colaborador_391"/>
    <s v="ASSISTENTE DE OP LOGISTICA I"/>
    <s v="ASSISTENTE"/>
    <s v="MAT_391"/>
    <s v="Unidade_391"/>
    <s v="CEARA"/>
    <x v="0"/>
    <x v="390"/>
    <s v="GESTÃO DE TRANSPORTES"/>
    <s v="Líder_Imed_391"/>
    <s v="Concluído"/>
    <n v="9"/>
    <s v="22%"/>
    <s v="Cursando"/>
    <n v="108"/>
    <n v="24"/>
  </r>
  <r>
    <s v="Colaborador_392"/>
    <s v="ANALISTA DE LOGISTICA I"/>
    <s v="PROFISSIONAIS_I"/>
    <s v="MAT_392"/>
    <s v="Unidade_392"/>
    <s v="PERNAMBUCO"/>
    <x v="0"/>
    <x v="391"/>
    <s v="TRANSPORTE FARINHA - PCP"/>
    <s v="Líder_Imed_392"/>
    <s v="Concluído"/>
    <n v="9"/>
    <s v="100%"/>
    <s v="Concluído"/>
    <n v="106"/>
    <n v="106"/>
  </r>
  <r>
    <s v="Colaborador_393"/>
    <s v="ASSISTENTE DE OP LOGISTICA I"/>
    <s v="ASSISTENTE"/>
    <s v="MAT_393"/>
    <s v="Unidade_393"/>
    <s v="RIO GRANDE DO SUL"/>
    <x v="0"/>
    <x v="392"/>
    <s v="REGIONAL DE LOGÍSTICA SUPORTE REGIONAL"/>
    <s v="Líder_Imed_393"/>
    <s v="Concluído"/>
    <n v="9"/>
    <s v="100%"/>
    <s v="Concluído"/>
    <n v="72"/>
    <n v="72"/>
  </r>
  <r>
    <s v="Colaborador_394"/>
    <s v="LIDER DE LOGISTICA"/>
    <s v="LIDER_OPERACIONAL"/>
    <s v="MAT_394"/>
    <s v="Unidade_394"/>
    <s v="BAHIA"/>
    <x v="0"/>
    <x v="393"/>
    <s v="ALMOXARIFADO DE PRODUTO ACABADO"/>
    <s v="Líder_Imed_394"/>
    <s v="Concluído"/>
    <n v="7"/>
    <s v="100%"/>
    <s v="Concluído"/>
    <n v="50"/>
    <n v="50"/>
  </r>
  <r>
    <s v="Colaborador_395"/>
    <s v="ASSISTENTE DE OP LOGISTICA III"/>
    <s v="ASSISTENTE"/>
    <s v="MAT_395"/>
    <s v="Unidade_395"/>
    <s v="CEARA"/>
    <x v="0"/>
    <x v="394"/>
    <s v="TRANSP DISTRIBUIÇÃO - DENTRO DO ESTADO"/>
    <s v="Líder_Imed_395"/>
    <s v="Concluído"/>
    <n v="7"/>
    <s v="100%"/>
    <s v="Concluído"/>
    <n v="98"/>
    <n v="98"/>
  </r>
  <r>
    <s v="Colaborador_396"/>
    <s v="ASSISTENTE DE OP LOGISTICA II"/>
    <s v="ASSISTENTE"/>
    <s v="MAT_396"/>
    <s v="Unidade_396"/>
    <s v="CEARA"/>
    <x v="0"/>
    <x v="395"/>
    <s v="TRANSP DISTRIBUIÇÃO - DENTRO DO ESTADO"/>
    <s v="Líder_Imed_396"/>
    <s v="Concluído"/>
    <n v="9"/>
    <s v="51%"/>
    <s v="Cursando"/>
    <n v="80"/>
    <n v="41"/>
  </r>
  <r>
    <s v="Colaborador_397"/>
    <s v="COORDENADOR DE LOGISTICA"/>
    <s v="COORDENADOR"/>
    <s v="MAT_397"/>
    <s v="Unidade_397"/>
    <s v="RIO GRANDE DO SUL"/>
    <x v="0"/>
    <x v="396"/>
    <s v="EXPEDIÇÃO VERTICALIZADAS"/>
    <s v="Líder_Imed_397"/>
    <s v="Concluído"/>
    <n v="7"/>
    <s v="100%"/>
    <s v="Concluído"/>
    <n v="84"/>
    <n v="84"/>
  </r>
  <r>
    <s v="Colaborador_398"/>
    <s v="ASSISTENTE DE OP LOGISTICA I"/>
    <s v="ASSISTENTE"/>
    <s v="MAT_398"/>
    <s v="Unidade_398"/>
    <s v="CEARA"/>
    <x v="0"/>
    <x v="397"/>
    <s v="CENTRAL DE MONITORAMENTO"/>
    <s v="Líder_Imed_398"/>
    <s v="Concluído"/>
    <n v="9"/>
    <s v="100%"/>
    <s v="Concluído"/>
    <n v="94"/>
    <n v="94"/>
  </r>
  <r>
    <s v="Colaborador_399"/>
    <s v="ANALISTA DE LOGISTICA II"/>
    <s v="PROFISSIONAIS_II"/>
    <s v="MAT_399"/>
    <s v="Unidade_399"/>
    <s v="RIO DE JANEIRO"/>
    <x v="0"/>
    <x v="398"/>
    <s v="CUSTOS LOGISTICOS E ORCAMENTO"/>
    <s v="Líder_Imed_399"/>
    <s v="Concluído"/>
    <n v="7"/>
    <s v="100%"/>
    <s v="Concluído"/>
    <n v="80"/>
    <n v="80"/>
  </r>
  <r>
    <s v="Colaborador_400"/>
    <s v="ASSISTENTE ADMINISTRATIVO"/>
    <s v="ASSISTENTE"/>
    <s v="MAT_400"/>
    <s v="Unidade_400"/>
    <s v="PERNAMBUCO"/>
    <x v="0"/>
    <x v="399"/>
    <s v="TRANSP DISTRIBUIÇÃO - DENTRO DO ESTADO"/>
    <s v="Líder_Imed_400"/>
    <s v="Concluído"/>
    <n v="9"/>
    <s v="41%"/>
    <s v="Cursando"/>
    <n v="70"/>
    <n v="29"/>
  </r>
  <r>
    <s v="Colaborador_401"/>
    <s v="GERENTE DE PLANEJ LOGISTICO"/>
    <s v="GERENTE"/>
    <s v="MAT_401"/>
    <s v="Unidade_401"/>
    <s v="SAO PAULO"/>
    <x v="1"/>
    <x v="400"/>
    <s v="PLANEJAMENTO INTEGRADO"/>
    <s v="Líder_Imed_401"/>
    <s v="Concluído"/>
    <n v="6"/>
    <s v="100%"/>
    <s v="Concluído"/>
    <n v="97"/>
    <n v="97"/>
  </r>
  <r>
    <s v="Colaborador_402"/>
    <s v="SUPERVISOR DE LOGISTICA"/>
    <s v="SUPERVISOR"/>
    <s v="MAT_402"/>
    <s v="Unidade_402"/>
    <s v="SAO PAULO"/>
    <x v="0"/>
    <x v="401"/>
    <s v="TRANSP DISTRIBUIÇÃO - DENTRO DO ESTADO"/>
    <s v="Líder_Imed_402"/>
    <s v="Concluído"/>
    <n v="7"/>
    <s v="77%"/>
    <s v="Cursando"/>
    <n v="98"/>
    <n v="75"/>
  </r>
  <r>
    <s v="Colaborador_403"/>
    <s v="ASSISTENTE ADMINISTRATIVO"/>
    <s v="ASSISTENTE"/>
    <s v="MAT_403"/>
    <s v="Unidade_403"/>
    <s v="PERNAMBUCO"/>
    <x v="0"/>
    <x v="402"/>
    <s v="ALMOXARIFADO DE PRODUTO ACABADO"/>
    <s v="Líder_Imed_403"/>
    <s v="Concluído"/>
    <n v="9"/>
    <s v="100%"/>
    <s v="Concluído"/>
    <n v="84"/>
    <n v="84"/>
  </r>
  <r>
    <s v="Colaborador_404"/>
    <s v="ASSISTENTE DE OP LOGISTICA III"/>
    <s v="ASSISTENTE"/>
    <s v="MAT_404"/>
    <s v="Unidade_404"/>
    <s v="MARANHAO"/>
    <x v="0"/>
    <x v="403"/>
    <s v="TRANSP DISTRIBUIÇÃO - DENTRO DO ESTADO"/>
    <s v="Líder_Imed_404"/>
    <s v="Concluído"/>
    <n v="9"/>
    <s v="100%"/>
    <s v="Concluído"/>
    <n v="76"/>
    <n v="76"/>
  </r>
  <r>
    <s v="Colaborador_405"/>
    <s v="ANALISTA DE LOGISTICA I"/>
    <s v="PROFISSIONAIS_I"/>
    <s v="MAT_405"/>
    <s v="Unidade_405"/>
    <s v="SAO PAULO"/>
    <x v="0"/>
    <x v="404"/>
    <s v="DISTRIBUIÇÃO"/>
    <s v="Líder_Imed_405"/>
    <s v="Concluído"/>
    <n v="9"/>
    <s v="100%"/>
    <s v="Concluído"/>
    <n v="92"/>
    <n v="92"/>
  </r>
  <r>
    <s v="Colaborador_406"/>
    <s v="ASSISTENTE DE OP LOGISTICA I"/>
    <s v="ASSISTENTE"/>
    <s v="MAT_406"/>
    <s v="Unidade_406"/>
    <s v="BAHIA"/>
    <x v="0"/>
    <x v="405"/>
    <s v="ALMOXARIFADO DE PRODUTO ACABADO"/>
    <s v="Líder_Imed_406"/>
    <s v="Concluído"/>
    <n v="9"/>
    <s v="64%"/>
    <s v="Cursando"/>
    <n v="78"/>
    <n v="50"/>
  </r>
  <r>
    <s v="Colaborador_407"/>
    <s v="ANALISTA DE LOGISTICA I"/>
    <s v="PROFISSIONAIS_I"/>
    <s v="MAT_407"/>
    <s v="Unidade_407"/>
    <s v="PERNAMBUCO"/>
    <x v="0"/>
    <x v="406"/>
    <s v="ALMOXARIFADO DE PRODUTO ACABADO SUPORTE"/>
    <s v="Líder_Imed_407"/>
    <s v="Concluído"/>
    <n v="18"/>
    <s v="100%"/>
    <s v="Concluído"/>
    <n v="104"/>
    <n v="104"/>
  </r>
  <r>
    <s v="Colaborador_408"/>
    <s v="ANALISTA DE PLANEJ LOGIST I"/>
    <s v="PROFISSIONAIS_I"/>
    <s v="MAT_408"/>
    <s v="Unidade_408"/>
    <s v="CEARA"/>
    <x v="3"/>
    <x v="407"/>
    <s v="PLANEJAMENTO E ANÁLISE DE MALHA"/>
    <s v="Líder_Imed_408"/>
    <s v="Concluído"/>
    <n v="9"/>
    <s v="100%"/>
    <s v="Concluído"/>
    <n v="70"/>
    <n v="70"/>
  </r>
  <r>
    <s v="Colaborador_409"/>
    <s v="ASSISTENTE DE OP LOGISTICA I"/>
    <s v="ASSISTENTE"/>
    <s v="MAT_409"/>
    <s v="Unidade_409"/>
    <s v="CEARA"/>
    <x v="0"/>
    <x v="408"/>
    <s v="TRANSP DISTRIBUIÇÃO - DENTRO DO ESTADO"/>
    <s v="Líder_Imed_409"/>
    <s v="Concluído"/>
    <n v="7"/>
    <s v="52%"/>
    <s v="Cursando"/>
    <n v="50"/>
    <n v="26"/>
  </r>
  <r>
    <s v="Colaborador_410"/>
    <s v="ANALISTA DE LOGISTICA II"/>
    <s v="PROFISSIONAIS_II"/>
    <s v="MAT_410"/>
    <s v="Unidade_410"/>
    <s v="JASMINE"/>
    <x v="0"/>
    <x v="409"/>
    <m/>
    <s v="Líder_Imed_410"/>
    <s v="Concluído"/>
    <n v="9"/>
    <s v="86%"/>
    <s v="Cursando"/>
    <n v="78"/>
    <n v="67"/>
  </r>
  <r>
    <s v="Colaborador_411"/>
    <s v="GERENTE DE DISTRIBUICAO"/>
    <s v="GERENTE"/>
    <s v="MAT_411"/>
    <s v="Unidade_411"/>
    <s v="RIO DE JANEIRO"/>
    <x v="0"/>
    <x v="410"/>
    <s v="REGIONAL DE LOGÍSTICA SUPORTE REGIONAL"/>
    <s v="Líder_Imed_411"/>
    <s v="Concluído"/>
    <n v="7"/>
    <s v="100%"/>
    <s v="Concluído"/>
    <n v="82"/>
    <n v="82"/>
  </r>
  <r>
    <s v="Colaborador_412"/>
    <s v="ANALISTA DE PLANEJ LOGIST I"/>
    <s v="PROFISSIONAIS_I"/>
    <s v="MAT_412"/>
    <s v="Unidade_412"/>
    <s v="CEARA"/>
    <x v="1"/>
    <x v="411"/>
    <s v="MELHORIA CONTÍNUA"/>
    <s v="Líder_Imed_412"/>
    <s v="Concluído"/>
    <n v="8"/>
    <s v="100%"/>
    <s v="Concluído"/>
    <n v="83"/>
    <n v="83"/>
  </r>
  <r>
    <s v="Colaborador_413"/>
    <s v="ANALISTA DE LOGISTICA II"/>
    <s v="PROFISSIONAIS_II"/>
    <s v="MAT_413"/>
    <s v="Unidade_413"/>
    <s v="RIO DE JANEIRO"/>
    <x v="0"/>
    <x v="412"/>
    <s v="CUSTOS LOGISTICOS E ORCAMENTO"/>
    <s v="Líder_Imed_413"/>
    <s v="Concluído"/>
    <n v="9"/>
    <s v="33%"/>
    <s v="Cursando"/>
    <n v="78"/>
    <n v="26"/>
  </r>
  <r>
    <s v="Colaborador_414"/>
    <s v="ANALISTA DE LOGISTICA I"/>
    <s v="PROFISSIONAIS_I"/>
    <s v="MAT_414"/>
    <s v="Unidade_414"/>
    <s v="CEARA"/>
    <x v="0"/>
    <x v="413"/>
    <s v="DISTRIBUIÇÃO"/>
    <s v="Líder_Imed_414"/>
    <s v="Concluído"/>
    <n v="7"/>
    <s v="100%"/>
    <s v="Concluído"/>
    <n v="62"/>
    <n v="62"/>
  </r>
  <r>
    <s v="Colaborador_415"/>
    <s v="GERENTE DE CUSTOMER SERVICE"/>
    <s v="GERENTE"/>
    <s v="MAT_415"/>
    <s v="Unidade_415"/>
    <s v="SAO PAULO"/>
    <x v="2"/>
    <x v="414"/>
    <s v="CUSTOMER SERVICE"/>
    <s v="Líder_Imed_415"/>
    <s v="Concluído"/>
    <n v="5"/>
    <s v="63%"/>
    <s v="Cursando"/>
    <n v="62"/>
    <n v="39"/>
  </r>
  <r>
    <s v="Colaborador_416"/>
    <s v="ANALISTA DE LOGISTICA I"/>
    <s v="PROFISSIONAIS_I"/>
    <s v="MAT_416"/>
    <s v="Unidade_416"/>
    <s v="SAO PAULO"/>
    <x v="0"/>
    <x v="415"/>
    <s v="OPERAÇÕES LOGÍSTICAS - SÃO CAETANO SUL"/>
    <s v="Líder_Imed_416"/>
    <s v="Concluído"/>
    <n v="7"/>
    <s v="100%"/>
    <s v="Concluído"/>
    <n v="82"/>
    <n v="82"/>
  </r>
  <r>
    <s v="Colaborador_417"/>
    <s v="ANALISTA DE LOGISTICA I"/>
    <s v="PROFISSIONAIS_I"/>
    <s v="MAT_417"/>
    <s v="Unidade_417"/>
    <s v="PERNAMBUCO"/>
    <x v="0"/>
    <x v="416"/>
    <s v="TRANSP DISTRIBUIÇÃO - DENTRO DO ESTADO"/>
    <s v="Líder_Imed_417"/>
    <s v="Concluído"/>
    <n v="9"/>
    <s v="76%"/>
    <s v="Cursando"/>
    <n v="80"/>
    <n v="61"/>
  </r>
  <r>
    <s v="Colaborador_418"/>
    <s v="ANALISTA DE LOGISTICA II"/>
    <s v="PROFISSIONAIS_II"/>
    <s v="MAT_418"/>
    <s v="Unidade_418"/>
    <s v="RIO GRANDE DO SUL"/>
    <x v="0"/>
    <x v="417"/>
    <s v="REGIONAL DE LOGÍSTICA SUPORTE REGIONAL"/>
    <s v="Líder_Imed_418"/>
    <s v="Concluído"/>
    <n v="9"/>
    <s v="100%"/>
    <s v="Concluído"/>
    <n v="78"/>
    <n v="78"/>
  </r>
  <r>
    <s v="Colaborador_419"/>
    <s v="SUPERVISOR DE LOGISTICA"/>
    <s v="SUPERVISOR"/>
    <s v="MAT_419"/>
    <s v="Unidade_419"/>
    <s v="BAHIA"/>
    <x v="0"/>
    <x v="418"/>
    <s v="ALMOXARIFADO DE PRODUTO ACABADO"/>
    <s v="Líder_Imed_419"/>
    <s v="Concluído"/>
    <n v="9"/>
    <s v="100%"/>
    <s v="Concluído"/>
    <n v="84"/>
    <n v="84"/>
  </r>
  <r>
    <s v="Colaborador_420"/>
    <s v="SUPERVISOR DE LOGISTICA"/>
    <s v="SUPERVISOR"/>
    <s v="MAT_420"/>
    <s v="Unidade_420"/>
    <s v="RIO GRANDE DO SUL"/>
    <x v="0"/>
    <x v="419"/>
    <s v="TRANSP DISTRIBUIÇÃO - DENTRO DO ESTADO"/>
    <s v="Líder_Imed_420"/>
    <s v="Concluído"/>
    <n v="7"/>
    <s v="100%"/>
    <s v="Concluído"/>
    <n v="118"/>
    <n v="118"/>
  </r>
  <r>
    <s v="Colaborador_421"/>
    <s v="GERENTE REGIONAL DE LOGISTICA"/>
    <s v="GERENTE"/>
    <s v="MAT_421"/>
    <s v="Unidade_421"/>
    <s v="CEARA"/>
    <x v="0"/>
    <x v="420"/>
    <s v="DIRETORIA LOGISTICA E PLAN INTEGRADO"/>
    <s v="Líder_Imed_421"/>
    <s v="Concluído"/>
    <n v="7"/>
    <s v="100%"/>
    <s v="Concluído"/>
    <n v="98"/>
    <n v="98"/>
  </r>
  <r>
    <s v="Colaborador_422"/>
    <s v="ANALISTA DE LOGISTICA I"/>
    <s v="PROFISSIONAIS_I"/>
    <s v="MAT_422"/>
    <s v="Unidade_422"/>
    <s v="BAHIA"/>
    <x v="0"/>
    <x v="421"/>
    <s v="TRANSP DIST FARINHA - DENTRO DO ESTADO"/>
    <s v="Líder_Imed_422"/>
    <s v="Concluído"/>
    <n v="7"/>
    <s v="100%"/>
    <s v="Concluído"/>
    <n v="62"/>
    <n v="62"/>
  </r>
  <r>
    <s v="Colaborador_423"/>
    <s v="ANALISTA DE LOGISTICA I"/>
    <s v="PROFISSIONAIS_I"/>
    <s v="MAT_423"/>
    <s v="Unidade_423"/>
    <s v="MARANHAO"/>
    <x v="0"/>
    <x v="422"/>
    <s v="CUSTOS LOGÍSTICOS E ORÇAMENTO"/>
    <s v="Líder_Imed_423"/>
    <s v="Concluído"/>
    <n v="9"/>
    <s v="100%"/>
    <s v="Concluído"/>
    <n v="120"/>
    <n v="120"/>
  </r>
  <r>
    <s v="Colaborador_424"/>
    <s v="ASSISTENTE DE OP LOGISTICA II"/>
    <s v="ASSISTENTE"/>
    <s v="MAT_424"/>
    <s v="Unidade_424"/>
    <s v="CEARA"/>
    <x v="0"/>
    <x v="423"/>
    <s v="ALMOXARIFADO DE PRODUTO ACABADO"/>
    <s v="Líder_Imed_424"/>
    <s v="Concluído"/>
    <n v="7"/>
    <s v="81%"/>
    <s v="Cursando"/>
    <n v="62"/>
    <n v="50"/>
  </r>
  <r>
    <s v="Colaborador_425"/>
    <s v="ANALISTA DE CUSTOMER SERVICE I"/>
    <s v="PROFISSIONAIS_I"/>
    <s v="MAT_425"/>
    <s v="Unidade_425"/>
    <s v="SAO PAULO"/>
    <x v="2"/>
    <x v="424"/>
    <s v="CUSTOMER SERVICE INTERNO"/>
    <s v="Líder_Imed_425"/>
    <s v="Concluído"/>
    <n v="7"/>
    <s v="100%"/>
    <s v="Concluído"/>
    <n v="70"/>
    <n v="70"/>
  </r>
  <r>
    <s v="Colaborador_426"/>
    <s v="COORDENADOR DE LOGISTICA"/>
    <s v="COORDENADOR"/>
    <s v="MAT_426"/>
    <s v="Unidade_426"/>
    <s v="ESPIRITO SANTO"/>
    <x v="0"/>
    <x v="425"/>
    <s v="ALMOXARIFADO DE PRODUTO ACABADO"/>
    <s v="Líder_Imed_426"/>
    <s v="Concluído"/>
    <n v="5"/>
    <s v="18%"/>
    <s v="Cursando"/>
    <n v="62"/>
    <n v="11"/>
  </r>
  <r>
    <s v="Colaborador_427"/>
    <s v="SUPERVISOR DE LOGISTICA"/>
    <s v="SUPERVISOR"/>
    <s v="MAT_427"/>
    <s v="Unidade_427"/>
    <s v="RIO DE JANEIRO"/>
    <x v="0"/>
    <x v="426"/>
    <s v="TRANSP DISTRIBUIÇÃO - DENTRO DO ESTADO"/>
    <s v="Líder_Imed_427"/>
    <s v="Concluído"/>
    <n v="5"/>
    <s v="7%"/>
    <s v="Cursando"/>
    <n v="76"/>
    <n v="5"/>
  </r>
  <r>
    <s v="Colaborador_428"/>
    <s v="COORDENADOR DE ALMOXARIFADO"/>
    <s v="COORDENADOR"/>
    <s v="MAT_428"/>
    <s v="Unidade_428"/>
    <s v="RIO DE JANEIRO"/>
    <x v="0"/>
    <x v="427"/>
    <s v="ALMOXARIFADO DE MATÉRIA-PRIMA"/>
    <s v="Líder_Imed_428"/>
    <s v="Concluído"/>
    <n v="7"/>
    <s v="48%"/>
    <s v="Cursando"/>
    <n v="84"/>
    <n v="40"/>
  </r>
  <r>
    <s v="Colaborador_429"/>
    <s v="GERENTE DE PLANEJAMENTO DE DISTRIBU"/>
    <s v="GERENTE"/>
    <s v="MAT_429"/>
    <s v="Unidade_429"/>
    <s v="SAO PAULO"/>
    <x v="1"/>
    <x v="428"/>
    <s v="SUPPLY CHAIN"/>
    <s v="Líder_Imed_429"/>
    <s v="Concluído"/>
    <n v="7"/>
    <s v="100%"/>
    <s v="Concluído"/>
    <n v="78"/>
    <n v="78"/>
  </r>
  <r>
    <s v="Colaborador_430"/>
    <s v="SUPERVISOR DE LOGISTICA"/>
    <s v="SUPERVISOR"/>
    <s v="MAT_430"/>
    <s v="Unidade_430"/>
    <s v="PARANA"/>
    <x v="0"/>
    <x v="429"/>
    <s v="REGIONAL DE LOGÍSTICA SUPORTE REGIONAL"/>
    <s v="Líder_Imed_430"/>
    <s v="Concluído"/>
    <n v="4"/>
    <s v="69%"/>
    <s v="Cursando"/>
    <n v="75"/>
    <n v="52"/>
  </r>
  <r>
    <s v="Colaborador_431"/>
    <s v="ASSISTENTE DE OP LOGISTICA I"/>
    <s v="ASSISTENTE"/>
    <s v="MAT_431"/>
    <s v="Unidade_431"/>
    <s v="MARANHAO"/>
    <x v="0"/>
    <x v="430"/>
    <s v="ALMOXARIFADO DE PRODUTO ACABADO"/>
    <s v="Líder_Imed_431"/>
    <s v="Concluído"/>
    <n v="9"/>
    <s v="100%"/>
    <s v="Concluído"/>
    <n v="106"/>
    <n v="106"/>
  </r>
  <r>
    <s v="Colaborador_432"/>
    <s v="COORDENADOR DE LOGISTICA"/>
    <s v="COORDENADOR"/>
    <s v="MAT_432"/>
    <s v="Unidade_432"/>
    <s v="RIO DE JANEIRO"/>
    <x v="0"/>
    <x v="431"/>
    <s v="DISTRIBUIÇÃO"/>
    <s v="Líder_Imed_432"/>
    <s v="Concluído"/>
    <n v="6"/>
    <s v="100%"/>
    <s v="Concluído"/>
    <n v="94"/>
    <n v="94"/>
  </r>
  <r>
    <s v="Colaborador_433"/>
    <s v="ASSISTENTE ADMINISTRATIVO"/>
    <s v="ASSISTENTE"/>
    <s v="MAT_433"/>
    <s v="Unidade_433"/>
    <s v="CEARA"/>
    <x v="0"/>
    <x v="432"/>
    <s v="TRANSP DISTRIBUIÇÃO - DENTRO DO ESTADO"/>
    <s v="Líder_Imed_433"/>
    <s v="Concluído"/>
    <n v="7"/>
    <s v="76%"/>
    <s v="Cursando"/>
    <n v="84"/>
    <n v="64"/>
  </r>
  <r>
    <s v="Colaborador_434"/>
    <s v="ASSISTENTE DE OP LOGISTICA II"/>
    <s v="ASSISTENTE"/>
    <s v="MAT_434"/>
    <s v="Unidade_434"/>
    <s v="SAO PAULO"/>
    <x v="0"/>
    <x v="433"/>
    <s v="DISTRIBUIÇÃO"/>
    <s v="Líder_Imed_434"/>
    <s v="Concluído"/>
    <n v="7"/>
    <s v="100%"/>
    <s v="Concluído"/>
    <n v="62"/>
    <n v="62"/>
  </r>
  <r>
    <s v="Colaborador_435"/>
    <s v="ASSISTENTE DE OP LOGISTICA II"/>
    <s v="ASSISTENTE"/>
    <s v="MAT_435"/>
    <s v="Unidade_435"/>
    <s v="PERNAMBUCO"/>
    <x v="0"/>
    <x v="434"/>
    <s v="CUSTOS LOGÍSTICOS E ORÇAMENTO"/>
    <s v="Líder_Imed_435"/>
    <s v="Concluído"/>
    <n v="9"/>
    <s v="69%"/>
    <s v="Cursando"/>
    <n v="84"/>
    <n v="58"/>
  </r>
  <r>
    <s v="Colaborador_436"/>
    <s v="ASSISTENTE DE OP LOGISTICA II"/>
    <s v="ASSISTENTE"/>
    <s v="MAT_436"/>
    <s v="Unidade_436"/>
    <s v="RIO DE JANEIRO"/>
    <x v="0"/>
    <x v="435"/>
    <s v="ALMOXARIFADO DE MATÉRIA-PRIMA"/>
    <s v="Líder_Imed_436"/>
    <s v="Concluído"/>
    <n v="7"/>
    <s v="8%"/>
    <s v="Cursando"/>
    <n v="66"/>
    <n v="5"/>
  </r>
  <r>
    <s v="Colaborador_437"/>
    <s v="ASSISTENTE DE OP LOGISTICA II"/>
    <s v="ASSISTENTE"/>
    <s v="MAT_437"/>
    <s v="Unidade_437"/>
    <s v="CEARA"/>
    <x v="0"/>
    <x v="436"/>
    <s v="TRANSP DISTRIBUIÇÃO - DENTRO DO ESTADO"/>
    <s v="Líder_Imed_437"/>
    <s v="Concluído"/>
    <n v="9"/>
    <s v="100%"/>
    <s v="Concluído"/>
    <n v="70"/>
    <n v="70"/>
  </r>
  <r>
    <s v="Colaborador_438"/>
    <s v="COORDENADOR DE LOGISTICA"/>
    <s v="COORDENADOR"/>
    <s v="MAT_438"/>
    <s v="Unidade_438"/>
    <s v="CEARA"/>
    <x v="3"/>
    <x v="437"/>
    <s v="PLANEJAMENTO ESTRATÉGICO"/>
    <s v="Líder_Imed_438"/>
    <s v="Concluído"/>
    <n v="7"/>
    <s v="90%"/>
    <s v="Cursando"/>
    <n v="82"/>
    <n v="74"/>
  </r>
  <r>
    <s v="Colaborador_439"/>
    <s v="ASSISTENTE DE OP LOGISTICA II"/>
    <s v="ASSISTENTE"/>
    <s v="MAT_439"/>
    <s v="Unidade_439"/>
    <s v="CEARA"/>
    <x v="1"/>
    <x v="438"/>
    <s v="SUPPLY CHAIN"/>
    <s v="Líder_Imed_439"/>
    <s v="Concluído"/>
    <n v="7"/>
    <s v="45%"/>
    <s v="Cursando"/>
    <n v="64"/>
    <n v="29"/>
  </r>
  <r>
    <s v="Colaborador_440"/>
    <s v="ASSISTENTE DE OP LOGISTICA III"/>
    <s v="ASSISTENTE"/>
    <s v="MAT_440"/>
    <s v="Unidade_440"/>
    <s v="SAO PAULO"/>
    <x v="0"/>
    <x v="439"/>
    <s v="ALMOXARIFADO DE PRODUTO ACABADO"/>
    <s v="Líder_Imed_440"/>
    <s v="Concluído"/>
    <n v="9"/>
    <s v="8%"/>
    <s v="Cursando"/>
    <n v="120"/>
    <n v="9"/>
  </r>
  <r>
    <s v="Colaborador_441"/>
    <s v="ASSISTENTE DE OP LOGISTICA I"/>
    <s v="ASSISTENTE"/>
    <s v="MAT_441"/>
    <s v="Unidade_441"/>
    <s v="ALAGOAS"/>
    <x v="0"/>
    <x v="440"/>
    <s v="TRANSP DISTRIBUIÇÃO - DENTRO DO ESTADO"/>
    <s v="Líder_Imed_441"/>
    <s v="Concluído"/>
    <n v="9"/>
    <s v="100%"/>
    <s v="Concluído"/>
    <n v="70"/>
    <n v="70"/>
  </r>
  <r>
    <s v="Colaborador_442"/>
    <s v="ASSISTENTE DE OP LOGISTICA III"/>
    <s v="ASSISTENTE"/>
    <s v="MAT_442"/>
    <s v="Unidade_442"/>
    <s v="RIO DE JANEIRO"/>
    <x v="0"/>
    <x v="441"/>
    <s v="ALMOXARIFADO DE PRODUTO ACABADO"/>
    <s v="Líder_Imed_442"/>
    <s v="Concluído"/>
    <n v="7"/>
    <s v="100%"/>
    <s v="Concluído"/>
    <n v="50"/>
    <n v="50"/>
  </r>
  <r>
    <s v="Colaborador_443"/>
    <s v="ANALISTA DE PLANEJ LOGIST I"/>
    <s v="PROFISSIONAIS_I"/>
    <s v="MAT_443"/>
    <s v="Unidade_443"/>
    <s v="CEARA"/>
    <x v="1"/>
    <x v="442"/>
    <s v="PLANEJAMENTO DE PRODUÇÃO E ABASTECIMENTO"/>
    <s v="Líder_Imed_443"/>
    <s v="Concluído"/>
    <n v="7"/>
    <s v="100%"/>
    <s v="Concluído"/>
    <n v="64"/>
    <n v="64"/>
  </r>
  <r>
    <s v="Colaborador_444"/>
    <s v="ASSISTENTE DE OP LOGISTICA II"/>
    <s v="ASSISTENTE"/>
    <s v="MAT_444"/>
    <s v="Unidade_444"/>
    <s v="PARAIBA"/>
    <x v="0"/>
    <x v="443"/>
    <s v="TRANSP DISTRIBUIÇÃO - DENTRO DO ESTADO"/>
    <s v="Líder_Imed_444"/>
    <s v="Concluído"/>
    <n v="9"/>
    <s v="100%"/>
    <s v="Concluído"/>
    <n v="107"/>
    <n v="107"/>
  </r>
  <r>
    <s v="Colaborador_445"/>
    <s v="COORDENADOR DE LOGISTICA"/>
    <s v="COORDENADOR"/>
    <s v="MAT_445"/>
    <s v="Unidade_445"/>
    <s v="CEARA"/>
    <x v="0"/>
    <x v="444"/>
    <s v="CUSTOS LOGÍSTICOS E ORÇAMENTO"/>
    <s v="Líder_Imed_445"/>
    <s v="Concluído"/>
    <n v="7"/>
    <s v="100%"/>
    <s v="Concluído"/>
    <n v="66"/>
    <n v="66"/>
  </r>
  <r>
    <s v="Colaborador_446"/>
    <s v="COORDENADOR DE CUSTOMER SERVICE"/>
    <s v="COORDENADOR"/>
    <s v="MAT_446"/>
    <s v="Unidade_446"/>
    <s v="CEARA"/>
    <x v="2"/>
    <x v="445"/>
    <s v="CUSTOMER SERVICE INTERNO"/>
    <s v="Líder_Imed_446"/>
    <s v="Concluído"/>
    <n v="7"/>
    <s v="100%"/>
    <s v="Concluído"/>
    <n v="74"/>
    <n v="74"/>
  </r>
  <r>
    <s v="Colaborador_447"/>
    <s v="ANALISTA DE LOGISTICA I"/>
    <s v="PROFISSIONAIS_I"/>
    <s v="MAT_447"/>
    <s v="Unidade_447"/>
    <s v="PARANA"/>
    <x v="0"/>
    <x v="446"/>
    <s v="REGIONAL DE LOGÍSTICA SUPORTE REGIONAL  "/>
    <s v="Líder_Imed_447"/>
    <s v="Concluído"/>
    <n v="7"/>
    <s v="100%"/>
    <s v="Concluído"/>
    <n v="78"/>
    <n v="78"/>
  </r>
  <r>
    <s v="Colaborador_448"/>
    <s v="ANALISTA DE LOGISTICA I"/>
    <s v="PROFISSIONAIS_I"/>
    <s v="MAT_448"/>
    <s v="Unidade_448"/>
    <s v="SAO PAULO"/>
    <x v="0"/>
    <x v="447"/>
    <s v="DISTRIBUIÇÃO"/>
    <s v="Líder_Imed_448"/>
    <s v="Concluído"/>
    <n v="9"/>
    <s v="100%"/>
    <s v="Concluído"/>
    <n v="70"/>
    <n v="70"/>
  </r>
  <r>
    <s v="Colaborador_449"/>
    <s v="ANALISTA DE LOGISTICA I"/>
    <s v="PROFISSIONAIS_I"/>
    <s v="MAT_449"/>
    <s v="Unidade_449"/>
    <s v="PERNAMBUCO"/>
    <x v="0"/>
    <x v="448"/>
    <s v="CUSTOS LOGÍSTICOS E ORÇAMENTO"/>
    <s v="Líder_Imed_449"/>
    <s v="Concluído"/>
    <n v="9"/>
    <s v="100%"/>
    <s v="Concluído"/>
    <n v="78"/>
    <n v="78"/>
  </r>
  <r>
    <s v="Colaborador_450"/>
    <s v="ASSISTENTE DE OP LOGISTICA II"/>
    <s v="ASSISTENTE"/>
    <s v="MAT_450"/>
    <s v="Unidade_450"/>
    <s v="RIO GRANDE DO SUL"/>
    <x v="0"/>
    <x v="449"/>
    <s v="FATURAMENTO"/>
    <s v="Líder_Imed_450"/>
    <s v="Concluído"/>
    <n v="9"/>
    <s v="100%"/>
    <s v="Concluído"/>
    <n v="114"/>
    <n v="114"/>
  </r>
  <r>
    <s v="Colaborador_451"/>
    <s v="ANALISTA DE PLANEJ LOGIST II"/>
    <s v="PROFISSIONAIS_II"/>
    <s v="MAT_451"/>
    <s v="Unidade_451"/>
    <s v="CEARA"/>
    <x v="1"/>
    <x v="450"/>
    <s v="MELHORIA CONTÍNUA"/>
    <s v="Líder_Imed_451"/>
    <s v="Concluído"/>
    <n v="7"/>
    <s v="100%"/>
    <s v="Concluído"/>
    <n v="84"/>
    <n v="84"/>
  </r>
  <r>
    <s v="Colaborador_452"/>
    <s v="ANALISTA DE COSTUMER SERVICE II"/>
    <s v="PROFISSIONAIS_I"/>
    <s v="MAT_452"/>
    <s v="Unidade_452"/>
    <s v="JASMINE"/>
    <x v="2"/>
    <x v="451"/>
    <s v="COSTOMER SERVICE (CORPORATIVO)"/>
    <s v="Líder_Imed_452"/>
    <s v="Concluído"/>
    <n v="9"/>
    <s v="18%"/>
    <s v="Cursando"/>
    <n v="83"/>
    <n v="15"/>
  </r>
  <r>
    <s v="Colaborador_453"/>
    <s v="ASSISTENTE DE OP LOGISTICA II"/>
    <s v="ASSISTENTE"/>
    <s v="MAT_453"/>
    <s v="Unidade_453"/>
    <s v="SAO PAULO"/>
    <x v="0"/>
    <x v="452"/>
    <s v="ALMOXARIFADO DE PRODUTO ACABADO"/>
    <s v="Líder_Imed_453"/>
    <s v="Concluído"/>
    <n v="9"/>
    <s v="100%"/>
    <s v="Concluído"/>
    <n v="70"/>
    <n v="70"/>
  </r>
  <r>
    <s v="Colaborador_454"/>
    <s v="ANALISTA DE PLANEJ LOGIST II"/>
    <s v="PROFISSIONAIS_II"/>
    <s v="MAT_454"/>
    <s v="Unidade_454"/>
    <s v="PERNAMBUCO"/>
    <x v="1"/>
    <x v="453"/>
    <s v="SUPPLY CHAIN"/>
    <s v="Líder_Imed_454"/>
    <s v="Concluído"/>
    <n v="7"/>
    <s v="100%"/>
    <s v="Concluído"/>
    <n v="74"/>
    <n v="74"/>
  </r>
  <r>
    <s v="Colaborador_455"/>
    <s v="ASSISTENTE DE OP LOGISTICA II"/>
    <s v="ASSISTENTE"/>
    <s v="MAT_455"/>
    <s v="Unidade_455"/>
    <s v="CEARA"/>
    <x v="0"/>
    <x v="454"/>
    <s v="ALMOXARIFADO DE PRODUTO ACABADO"/>
    <s v="Líder_Imed_455"/>
    <s v="Concluído"/>
    <n v="7"/>
    <s v="100%"/>
    <s v="Concluído"/>
    <n v="62"/>
    <n v="62"/>
  </r>
  <r>
    <s v="Colaborador_456"/>
    <s v="ANALISTA DE CUSTOMER SERVICE I"/>
    <s v="PROFISSIONAIS_I"/>
    <s v="MAT_456"/>
    <s v="Unidade_456"/>
    <s v="SAO PAULO"/>
    <x v="2"/>
    <x v="455"/>
    <s v="CUSTOMER SERVICE INTERNO"/>
    <s v="Líder_Imed_456"/>
    <s v="Concluído"/>
    <n v="7"/>
    <s v="100%"/>
    <s v="Concluído"/>
    <n v="52"/>
    <n v="52"/>
  </r>
  <r>
    <s v="Colaborador_457"/>
    <s v="ASSISTENTE DE OP LOGISTICA I"/>
    <s v="ASSISTENTE"/>
    <s v="MAT_457"/>
    <s v="Unidade_457"/>
    <s v="BAHIA"/>
    <x v="0"/>
    <x v="456"/>
    <s v="ALMOXARIFADO DE PRODUTO ACABADO"/>
    <s v="Líder_Imed_457"/>
    <s v="Concluído"/>
    <n v="9"/>
    <s v="80%"/>
    <s v="Cursando"/>
    <n v="86"/>
    <n v="69"/>
  </r>
  <r>
    <s v="Colaborador_458"/>
    <s v="ANALISTA DE CUSTOMER SERVICE I"/>
    <s v="PROFISSIONAIS_I"/>
    <s v="MAT_458"/>
    <s v="Unidade_458"/>
    <s v="RIO DE JANEIRO"/>
    <x v="2"/>
    <x v="457"/>
    <s v="CUSTOMER SERVICE EXTERNO"/>
    <s v="Líder_Imed_458"/>
    <s v="Concluído"/>
    <n v="9"/>
    <s v="100%"/>
    <s v="Concluído"/>
    <n v="80"/>
    <n v="80"/>
  </r>
  <r>
    <s v="Colaborador_459"/>
    <s v="ASSISTENTE ADMINISTRATIVO"/>
    <s v="ASSISTENTE"/>
    <s v="MAT_459"/>
    <s v="Unidade_459"/>
    <s v="PERNAMBUCO"/>
    <x v="0"/>
    <x v="458"/>
    <s v="TRANSP DISTRIBUIÇÃO - DENTRO DO ESTADO"/>
    <s v="Líder_Imed_459"/>
    <s v="Concluído"/>
    <n v="9"/>
    <s v="76%"/>
    <s v="Cursando"/>
    <n v="84"/>
    <n v="64"/>
  </r>
  <r>
    <s v="Colaborador_460"/>
    <s v="ASSISTENTE DE CUSTOMER SERVICE"/>
    <s v="ASSISTENTE_ESPECIFICO"/>
    <s v="MAT_460"/>
    <s v="Unidade_460"/>
    <s v="CEARA"/>
    <x v="0"/>
    <x v="459"/>
    <s v="CENTRAL DE PAGAMENTOS"/>
    <s v="Líder_Imed_460"/>
    <s v="Concluído"/>
    <n v="7"/>
    <s v="100%"/>
    <s v="Concluído"/>
    <n v="66"/>
    <n v="66"/>
  </r>
  <r>
    <s v="Colaborador_461"/>
    <s v="ANALISTA DE LOGISTICA I"/>
    <s v="PROFISSIONAIS_I"/>
    <s v="MAT_461"/>
    <s v="Unidade_461"/>
    <s v="PERNAMBUCO"/>
    <x v="0"/>
    <x v="460"/>
    <s v="CUSTOS LOGÍSTICOS E ORÇAMENTO"/>
    <s v="Líder_Imed_461"/>
    <s v="Concluído"/>
    <n v="7"/>
    <s v="100%"/>
    <s v="Concluído"/>
    <n v="66"/>
    <n v="66"/>
  </r>
  <r>
    <s v="Colaborador_462"/>
    <s v="ASSISTENTE DE OP LOGISTICA I"/>
    <s v="ASSISTENTE"/>
    <s v="MAT_462"/>
    <s v="Unidade_462"/>
    <s v="ALAGOAS"/>
    <x v="0"/>
    <x v="461"/>
    <s v="TRANSP DISTRIBUIÇÃO - DENTRO DO ESTADO"/>
    <s v="Líder_Imed_462"/>
    <s v="Concluído"/>
    <n v="7"/>
    <s v="100%"/>
    <s v="Concluído"/>
    <n v="64"/>
    <n v="64"/>
  </r>
  <r>
    <s v="Colaborador_463"/>
    <s v="ASSISTENTE DE OP LOGISTICA II"/>
    <s v="ASSISTENTE"/>
    <s v="MAT_463"/>
    <s v="Unidade_463"/>
    <s v="SAO PAULO"/>
    <x v="0"/>
    <x v="462"/>
    <s v="DISTRIBUIÇÃO"/>
    <s v="Líder_Imed_463"/>
    <s v="Concluído"/>
    <n v="7"/>
    <s v="100%"/>
    <s v="Concluído"/>
    <n v="52"/>
    <n v="52"/>
  </r>
  <r>
    <s v="Colaborador_464"/>
    <s v="ASSISTENTE DE OP LOGISTICA III"/>
    <s v="ASSISTENTE"/>
    <s v="MAT_464"/>
    <s v="Unidade_464"/>
    <s v="RIO GRANDE DO NORTE"/>
    <x v="0"/>
    <x v="463"/>
    <s v="TRANSP DISTRIBUIÇÃO - DENTRO DO ESTADO"/>
    <s v="Líder_Imed_464"/>
    <s v="Concluído"/>
    <n v="9"/>
    <s v="100%"/>
    <s v="Concluído"/>
    <n v="72"/>
    <n v="72"/>
  </r>
  <r>
    <s v="Colaborador_465"/>
    <s v="ASSISTENTE DE OP LOGISTICA I"/>
    <s v="ASSISTENTE"/>
    <s v="MAT_465"/>
    <s v="Unidade_465"/>
    <s v="CEARA"/>
    <x v="0"/>
    <x v="464"/>
    <s v="CENTRAL DE DEVOLUÇÕES"/>
    <s v="Líder_Imed_465"/>
    <s v="Concluído"/>
    <n v="7"/>
    <s v="100%"/>
    <s v="Concluído"/>
    <n v="50"/>
    <n v="50"/>
  </r>
  <r>
    <s v="Colaborador_466"/>
    <s v="ASSISTENTE ADMINISTRATIVO"/>
    <s v="ASSISTENTE"/>
    <s v="MAT_466"/>
    <s v="Unidade_466"/>
    <s v="PERNAMBUCO"/>
    <x v="0"/>
    <x v="465"/>
    <s v="ALMOXARIFADO DE PRODUTO ACABADO"/>
    <s v="Líder_Imed_466"/>
    <s v="Concluído"/>
    <n v="9"/>
    <s v="100%"/>
    <s v="Concluído"/>
    <n v="106"/>
    <n v="106"/>
  </r>
  <r>
    <s v="Colaborador_467"/>
    <s v="ASSISTENTE ADMINISTRATIVO"/>
    <s v="ASSISTENTE"/>
    <s v="MAT_467"/>
    <s v="Unidade_467"/>
    <s v="PERNAMBUCO"/>
    <x v="0"/>
    <x v="466"/>
    <s v="ALMOXARIFADO DE MATÉRIA-PRIMA"/>
    <s v="Líder_Imed_467"/>
    <s v="Concluído"/>
    <n v="7"/>
    <s v="48%"/>
    <s v="Cursando"/>
    <n v="98"/>
    <n v="47"/>
  </r>
  <r>
    <s v="Colaborador_468"/>
    <s v="ANALISTA CUSTOMER SERVICE JR"/>
    <s v="PROFISSIONAIS_I"/>
    <s v="MAT_468"/>
    <s v="Unidade_468"/>
    <s v="JASMINE"/>
    <x v="2"/>
    <x v="467"/>
    <s v="COSTOMER SERVICE (CORPORATIVO)"/>
    <s v="Líder_Imed_468"/>
    <s v="Concluído"/>
    <n v="7"/>
    <s v="100%"/>
    <s v="Concluído"/>
    <n v="74"/>
    <n v="74"/>
  </r>
  <r>
    <s v="Colaborador_469"/>
    <s v="ANALISTA DE CUSTOMER SERVICE I"/>
    <s v="PROFISSIONAIS_I"/>
    <s v="MAT_469"/>
    <s v="Unidade_469"/>
    <s v="SAO PAULO"/>
    <x v="2"/>
    <x v="468"/>
    <s v="CUSTOMER SERVICE EXTERNO"/>
    <s v="Líder_Imed_469"/>
    <s v="Concluído"/>
    <n v="7"/>
    <s v="31%"/>
    <s v="Cursando"/>
    <n v="64"/>
    <n v="20"/>
  </r>
  <r>
    <s v="Colaborador_470"/>
    <s v="ANALISTA DE LOGISTICA I"/>
    <s v="PROFISSIONAIS_I"/>
    <s v="MAT_470"/>
    <s v="Unidade_470"/>
    <s v="PERNAMBUCO"/>
    <x v="0"/>
    <x v="469"/>
    <s v="ALMOXARIFADO DE MATÉRIA-PRIMA"/>
    <s v="Líder_Imed_470"/>
    <s v="Concluído"/>
    <n v="9"/>
    <s v="100%"/>
    <s v="Concluído"/>
    <n v="92"/>
    <n v="92"/>
  </r>
  <r>
    <s v="Colaborador_471"/>
    <s v="ANALISTA DE LOGISTICA I"/>
    <s v="PROFISSIONAIS_I"/>
    <s v="MAT_471"/>
    <s v="Unidade_471"/>
    <s v="PERNAMBUCO"/>
    <x v="0"/>
    <x v="470"/>
    <s v="ALMOXARIFADO DE PRODUTO ACABADO"/>
    <s v="Líder_Imed_471"/>
    <s v="Concluído"/>
    <n v="9"/>
    <s v="93%"/>
    <s v="Cursando"/>
    <n v="94"/>
    <n v="87"/>
  </r>
  <r>
    <s v="Colaborador_472"/>
    <s v="ASSISTENTE DE OP LOGISTICA I"/>
    <s v="ASSISTENTE"/>
    <s v="MAT_472"/>
    <s v="Unidade_472"/>
    <s v="SAO PAULO"/>
    <x v="0"/>
    <x v="471"/>
    <s v="ALMOXARIFADO DE PRODUTO ACABADO"/>
    <s v="Líder_Imed_472"/>
    <s v="Concluído"/>
    <n v="9"/>
    <s v="100%"/>
    <s v="Concluído"/>
    <n v="106"/>
    <n v="106"/>
  </r>
  <r>
    <s v="Colaborador_473"/>
    <s v="SUPERVISOR DE LOGISTICA"/>
    <s v="SUPERVISOR"/>
    <s v="MAT_473"/>
    <s v="Unidade_473"/>
    <s v="BAHIA"/>
    <x v="0"/>
    <x v="472"/>
    <s v="ALMOXARIFADO DE PRODUTO ACABADO"/>
    <s v="Líder_Imed_473"/>
    <s v="Concluído"/>
    <n v="7"/>
    <s v="100%"/>
    <s v="Concluído"/>
    <n v="52"/>
    <n v="52"/>
  </r>
  <r>
    <s v="Colaborador_474"/>
    <s v="SUPERVISOR DE LOGISTICA"/>
    <s v="SUPERVISOR"/>
    <s v="MAT_474"/>
    <s v="Unidade_474"/>
    <s v="BAHIA"/>
    <x v="0"/>
    <x v="473"/>
    <s v="ALMOXARIFADO DE PRODUTO ACABADO"/>
    <s v="Líder_Imed_474"/>
    <s v="Concluído"/>
    <n v="7"/>
    <s v="44%"/>
    <s v="Cursando"/>
    <n v="52"/>
    <n v="23"/>
  </r>
  <r>
    <s v="Colaborador_475"/>
    <s v="SUPERVISOR DE LOGISTICA"/>
    <s v="SUPERVISOR"/>
    <s v="MAT_475"/>
    <s v="Unidade_475"/>
    <s v="RIO GRANDE DO NORTE"/>
    <x v="0"/>
    <x v="474"/>
    <s v="TRANSP DISTRIBUIÇÃO - DENTRO DO ESTADO"/>
    <s v="Líder_Imed_475"/>
    <s v="Concluído"/>
    <n v="7"/>
    <s v="79%"/>
    <s v="Cursando"/>
    <n v="52"/>
    <n v="41"/>
  </r>
  <r>
    <s v="Colaborador_476"/>
    <s v="ANALISTA CUSTOMER SERVICE JR"/>
    <s v="PROFISSIONAIS_"/>
    <s v="MAT_476"/>
    <s v="Unidade_476"/>
    <s v="JASMINE"/>
    <x v="2"/>
    <x v="475"/>
    <s v="COSTOMER SERVICE (CORPORATIVO)"/>
    <s v="Líder_Imed_476"/>
    <s v="Concluído"/>
    <n v="9"/>
    <s v="80%"/>
    <s v="Cursando"/>
    <n v="80"/>
    <n v="64"/>
  </r>
  <r>
    <s v="Colaborador_477"/>
    <s v="ANALISTA DE PLANEJ LOGIST III"/>
    <s v="PROFISSIONAIS_III"/>
    <s v="MAT_477"/>
    <s v="Unidade_477"/>
    <s v="CEARA"/>
    <x v="1"/>
    <x v="476"/>
    <s v="DEMANDA"/>
    <s v="Líder_Imed_477"/>
    <s v="Concluído"/>
    <n v="12"/>
    <s v="100%"/>
    <s v="Concluído"/>
    <n v="124"/>
    <n v="124"/>
  </r>
  <r>
    <s v="Colaborador_478"/>
    <s v="ASSISTENTE DE OP LOGISTICA I"/>
    <s v="ASSISTENTE"/>
    <s v="MAT_478"/>
    <s v="Unidade_478"/>
    <s v="SAO PAULO"/>
    <x v="0"/>
    <x v="477"/>
    <s v="ALMOXARIFADO DE PRODUTO ACABADO"/>
    <s v="Líder_Imed_478"/>
    <s v="Concluído"/>
    <n v="7"/>
    <s v="100%"/>
    <s v="Concluído"/>
    <n v="50"/>
    <n v="50"/>
  </r>
  <r>
    <s v="Colaborador_479"/>
    <s v="ASSISTENTE DE OP LOGISTICA III"/>
    <s v="ASSISTENTE"/>
    <s v="MAT_479"/>
    <s v="Unidade_479"/>
    <s v="SAO PAULO"/>
    <x v="1"/>
    <x v="478"/>
    <s v="SUPPLY CHAIN"/>
    <s v="Líder_Imed_479"/>
    <s v="Concluído"/>
    <n v="9"/>
    <s v="100%"/>
    <s v="Concluído"/>
    <n v="80"/>
    <n v="80"/>
  </r>
  <r>
    <s v="Colaborador_480"/>
    <s v="ASSISTENTE DE CUSTOMER SERVICE"/>
    <s v="ASSISTENTE_ESPECIFICO"/>
    <s v="MAT_480"/>
    <s v="Unidade_480"/>
    <s v="CEARA"/>
    <x v="2"/>
    <x v="479"/>
    <s v="CUSTOMER SERVICE INTERNO"/>
    <s v="Líder_Imed_480"/>
    <s v="Concluído"/>
    <n v="7"/>
    <s v="55%"/>
    <s v="Cursando"/>
    <n v="58"/>
    <n v="32"/>
  </r>
  <r>
    <s v="Colaborador_481"/>
    <s v="COORDENADOR DE LOGISTICA"/>
    <s v="COORDENADOR"/>
    <s v="MAT_481"/>
    <s v="Unidade_481"/>
    <s v="CEARA"/>
    <x v="0"/>
    <x v="480"/>
    <s v="GESTÃO DE TRANSPORTES"/>
    <s v="Líder_Imed_481"/>
    <s v="Concluído"/>
    <n v="7"/>
    <s v="7%"/>
    <s v="Cursando"/>
    <n v="57"/>
    <n v="4"/>
  </r>
  <r>
    <s v="Colaborador_482"/>
    <s v="ANALISTA DE PLANEJ LOGIST II"/>
    <s v="PROFISSIONAIS_II"/>
    <s v="MAT_482"/>
    <s v="Unidade_482"/>
    <s v="CEARA"/>
    <x v="0"/>
    <x v="481"/>
    <s v="GESTÃO DE TRANSPORTES"/>
    <s v="Líder_Imed_482"/>
    <s v="Concluído"/>
    <n v="9"/>
    <s v="91%"/>
    <s v="Cursando"/>
    <n v="104"/>
    <n v="95"/>
  </r>
  <r>
    <s v="Colaborador_483"/>
    <s v="ASSISTENTE DE OP LOGISTICA III"/>
    <s v="ASSISTENTE"/>
    <s v="MAT_483"/>
    <s v="Unidade_483"/>
    <s v="CEARA"/>
    <x v="1"/>
    <x v="482"/>
    <s v="SUPPLY CHAIN"/>
    <s v="Líder_Imed_483"/>
    <s v="Concluído"/>
    <n v="9"/>
    <s v="16%"/>
    <s v="Cursando"/>
    <n v="80"/>
    <n v="13"/>
  </r>
  <r>
    <s v="Colaborador_484"/>
    <s v="ANALISTA DE CUSTOMER SERVICE I"/>
    <s v="PROFISSIONAIS_I"/>
    <s v="MAT_484"/>
    <s v="Unidade_484"/>
    <s v="SAO PAULO"/>
    <x v="2"/>
    <x v="483"/>
    <s v="CUSTOMER SERVICE INTERNO"/>
    <s v="Líder_Imed_484"/>
    <s v="Concluído"/>
    <n v="3"/>
    <s v="100%"/>
    <s v="Concluído"/>
    <n v="62"/>
    <n v="62"/>
  </r>
  <r>
    <s v="Colaborador_485"/>
    <s v="SUPERVISOR DE LOGISTICA"/>
    <s v="SUPERVISOR"/>
    <s v="MAT_485"/>
    <s v="Unidade_485"/>
    <s v="MARANHAO"/>
    <x v="0"/>
    <x v="484"/>
    <s v="ALMOXARIFADO DE PRODUTO ACABADO"/>
    <s v="Líder_Imed_485"/>
    <s v="Concluído"/>
    <n v="7"/>
    <s v="100%"/>
    <s v="Concluído"/>
    <n v="118"/>
    <n v="118"/>
  </r>
  <r>
    <s v="Colaborador_486"/>
    <s v="ASSISTENTE DE OP LOGISTICA I"/>
    <s v="ASSISTENTE"/>
    <s v="MAT_486"/>
    <s v="Unidade_486"/>
    <s v="CEARA"/>
    <x v="0"/>
    <x v="485"/>
    <s v="TRANSP DISTRIBUIÇÃO - DENTRO DO ESTADO"/>
    <s v="Líder_Imed_486"/>
    <s v="Concluído"/>
    <n v="9"/>
    <s v="8%"/>
    <s v="Cursando"/>
    <n v="72"/>
    <n v="6"/>
  </r>
  <r>
    <s v="Colaborador_487"/>
    <s v="GERENTE DE DISTRIBUICAO"/>
    <s v="GERENTE"/>
    <s v="MAT_487"/>
    <s v="Unidade_487"/>
    <s v="RIO GRANDE DO SUL"/>
    <x v="0"/>
    <x v="486"/>
    <s v="REGIONAL DE LOGÍSTICA SUPORTE REGIONAL"/>
    <s v="Líder_Imed_487"/>
    <s v="Concluído"/>
    <n v="7"/>
    <s v="100%"/>
    <s v="Concluído"/>
    <n v="92"/>
    <n v="92"/>
  </r>
  <r>
    <s v="Colaborador_488"/>
    <s v="ANALISTA DE CUSTOMER SERVICE I"/>
    <s v="PROFISSIONAIS_I"/>
    <s v="MAT_488"/>
    <s v="Unidade_488"/>
    <s v="CEARA"/>
    <x v="2"/>
    <x v="487"/>
    <s v="CUSTOMER SERVICE INTERNO"/>
    <s v="Líder_Imed_488"/>
    <s v="Concluído"/>
    <n v="7"/>
    <s v="100%"/>
    <s v="Concluído"/>
    <n v="52"/>
    <n v="52"/>
  </r>
  <r>
    <s v="Colaborador_489"/>
    <s v="COORDENADOR DE LOGISTICA"/>
    <s v="COORDENADOR"/>
    <s v="MAT_489"/>
    <s v="Unidade_489"/>
    <s v="SAO PAULO"/>
    <x v="0"/>
    <x v="488"/>
    <s v="REGIONAL DE LOGÍSTICA SUPORTE REGIONAL"/>
    <s v="Líder_Imed_489"/>
    <s v="Concluído"/>
    <n v="6"/>
    <s v="100%"/>
    <s v="Concluído"/>
    <n v="79"/>
    <n v="79"/>
  </r>
  <r>
    <s v="Colaborador_490"/>
    <s v="SUPERVISOR DE ALMOXARIFADO"/>
    <s v="SUPERVISOR"/>
    <s v="MAT_490"/>
    <s v="Unidade_490"/>
    <s v="PERNAMBUCO"/>
    <x v="0"/>
    <x v="489"/>
    <s v="ALMOXARIFADO DE PRODUTO ACABADO"/>
    <s v="Líder_Imed_490"/>
    <s v="Concluído"/>
    <n v="28"/>
    <s v="100%"/>
    <s v="Concluído"/>
    <n v="99"/>
    <n v="99"/>
  </r>
  <r>
    <s v="Colaborador_491"/>
    <s v="ASSISTENTE DE OP LOGISTICA I"/>
    <s v="ASSISTENTE"/>
    <s v="MAT_491"/>
    <s v="Unidade_491"/>
    <s v="PIAUI"/>
    <x v="0"/>
    <x v="490"/>
    <s v="TRANSP DISTRIBUIÇÃO - DENTRO DO ESTADO"/>
    <s v="Líder_Imed_491"/>
    <s v="Concluído"/>
    <n v="9"/>
    <s v="30%"/>
    <s v="Cursando"/>
    <n v="70"/>
    <n v="21"/>
  </r>
  <r>
    <s v="Colaborador_492"/>
    <s v="GERENTE DE PLANEJ LOGISTICO"/>
    <s v="GERENTE"/>
    <s v="MAT_492"/>
    <s v="Unidade_492"/>
    <s v="SAO PAULO"/>
    <x v="1"/>
    <x v="491"/>
    <s v="SUPPLY CHAIN"/>
    <s v="Líder_Imed_492"/>
    <s v="Concluído"/>
    <n v="7"/>
    <s v="100%"/>
    <s v="Concluído"/>
    <n v="70"/>
    <n v="70"/>
  </r>
  <r>
    <s v="Colaborador_493"/>
    <s v="ASSISTENTE DE OP LOGISTICA III"/>
    <s v="ASSISTENTE"/>
    <s v="MAT_493"/>
    <s v="Unidade_493"/>
    <s v="SAO PAULO"/>
    <x v="0"/>
    <x v="492"/>
    <s v="OPERAÇÕES LOGÍSTICAS - SÃO CAETANO SUL"/>
    <s v="Líder_Imed_493"/>
    <s v="Concluído"/>
    <n v="9"/>
    <s v="100%"/>
    <s v="Concluído"/>
    <n v="70"/>
    <n v="70"/>
  </r>
  <r>
    <s v="Colaborador_494"/>
    <s v="ESTAGIARIO"/>
    <s v="ESTAGIARIO"/>
    <s v="MAT_494"/>
    <s v="Unidade_494"/>
    <s v="RIO DE JANEIRO"/>
    <x v="0"/>
    <x v="493"/>
    <s v="DISTRIBUIÇÃO"/>
    <s v="Líder_Imed_494"/>
    <s v="Concluído"/>
    <n v="7"/>
    <s v="100%"/>
    <s v="Concluído"/>
    <n v="64"/>
    <n v="64"/>
  </r>
  <r>
    <s v="Colaborador_495"/>
    <s v="ANALISTA DE LOGISTICA II"/>
    <s v="PROFISSIONAIS_II"/>
    <s v="MAT_495"/>
    <s v="Unidade_495"/>
    <s v="CEARA"/>
    <x v="0"/>
    <x v="494"/>
    <s v="GESTÃO DA PERFORMANCE"/>
    <s v="Líder_Imed_495"/>
    <s v="Concluído"/>
    <n v="9"/>
    <s v="100%"/>
    <s v="Concluído"/>
    <n v="78"/>
    <n v="78"/>
  </r>
  <r>
    <s v="Colaborador_496"/>
    <s v="ASSISTENTE DE OP LOGISTICA II"/>
    <s v="ASSISTENTE"/>
    <s v="MAT_496"/>
    <s v="Unidade_496"/>
    <s v="CEARA"/>
    <x v="0"/>
    <x v="495"/>
    <s v="REGIONAL DE LOGÍSTICA SUPORTE REGIONAL"/>
    <s v="Líder_Imed_496"/>
    <s v="Concluído"/>
    <n v="9"/>
    <s v="7%"/>
    <s v="Cursando"/>
    <n v="69"/>
    <n v="5"/>
  </r>
  <r>
    <s v="Colaborador_497"/>
    <s v="COORDENADOR DE LOGISTICA"/>
    <s v="COORDENADOR"/>
    <s v="MAT_497"/>
    <s v="Unidade_497"/>
    <s v="CEARA"/>
    <x v="0"/>
    <x v="496"/>
    <s v="TRANSP DISTRIBUIÇÃO - DENTRO DO ESTADO"/>
    <s v="Líder_Imed_497"/>
    <s v="Concluído"/>
    <n v="7"/>
    <s v="100%"/>
    <s v="Concluído"/>
    <n v="65"/>
    <n v="65"/>
  </r>
  <r>
    <s v="Colaborador_498"/>
    <s v="ASSISTENTE DE OP LOGISTICA III"/>
    <s v="ASSISTENTE"/>
    <s v="MAT_498"/>
    <s v="Unidade_498"/>
    <s v="SAO PAULO"/>
    <x v="1"/>
    <x v="497"/>
    <s v="SUPPLY CHAIN"/>
    <s v="Líder_Imed_498"/>
    <s v="Concluído"/>
    <n v="9"/>
    <s v="13%"/>
    <s v="Cursando"/>
    <n v="80"/>
    <n v="10"/>
  </r>
  <r>
    <s v="Colaborador_499"/>
    <s v="ANALISTA DE LOGISTICA I"/>
    <s v="PROFISSIONAIS_I"/>
    <s v="MAT_499"/>
    <s v="Unidade_499"/>
    <s v="SAO PAULO"/>
    <x v="0"/>
    <x v="498"/>
    <s v="ALMOXARIFADO DE PRODUTO ACABADO"/>
    <s v="Líder_Imed_499"/>
    <s v="Concluído"/>
    <n v="9"/>
    <s v="100%"/>
    <s v="Concluído"/>
    <n v="100"/>
    <n v="100"/>
  </r>
  <r>
    <s v="Colaborador_500"/>
    <s v="ASSISTENTE DE OP LOGISTICA III"/>
    <s v="ASSISTENTE"/>
    <s v="MAT_500"/>
    <s v="Unidade_500"/>
    <s v="PARAIBA"/>
    <x v="0"/>
    <x v="499"/>
    <s v="FATURAMENTO"/>
    <s v="Líder_Imed_500"/>
    <s v="Concluído"/>
    <n v="9"/>
    <s v="100%"/>
    <s v="Concluído"/>
    <n v="84"/>
    <n v="84"/>
  </r>
  <r>
    <s v="Colaborador_501"/>
    <s v="SUPERVISOR DE LOGISTICA"/>
    <s v="SUPERVISOR"/>
    <s v="MAT_501"/>
    <s v="Unidade_501"/>
    <s v="PERNAMBUCO"/>
    <x v="0"/>
    <x v="500"/>
    <s v="ALMOXARIFADO DE PRODUTO ACABADO SUPORTE"/>
    <s v="Líder_Imed_501"/>
    <s v="Concluído"/>
    <n v="7"/>
    <s v="100%"/>
    <s v="Concluído"/>
    <n v="82"/>
    <n v="82"/>
  </r>
  <r>
    <s v="Colaborador_502"/>
    <s v="ANALISTA DE PLANEJ LOGIST II"/>
    <s v="PROFISSIONAIS_II"/>
    <s v="MAT_502"/>
    <s v="Unidade_502"/>
    <s v="SAO PAULO"/>
    <x v="1"/>
    <x v="501"/>
    <s v="SUPPLY CHAIN"/>
    <s v="Líder_Imed_502"/>
    <s v="Concluído"/>
    <n v="5"/>
    <s v="100%"/>
    <s v="Concluído"/>
    <n v="62"/>
    <n v="62"/>
  </r>
  <r>
    <s v="Colaborador_503"/>
    <s v="ANALISTA DE PLANEJ LOGIST II"/>
    <s v="PROFISSIONAIS_II"/>
    <s v="MAT_503"/>
    <s v="Unidade_503"/>
    <s v="CEARA"/>
    <x v="0"/>
    <x v="502"/>
    <s v="CUSTOS LOGÍSTICOS E ORÇAMENTO"/>
    <s v="Líder_Imed_503"/>
    <s v="Concluído"/>
    <n v="7"/>
    <s v="100%"/>
    <s v="Concluído"/>
    <n v="92"/>
    <n v="92"/>
  </r>
  <r>
    <s v="Colaborador_504"/>
    <s v="ASSISTENTE DE OP LOGISTICA II"/>
    <s v="ASSISTENTE"/>
    <s v="MAT_504"/>
    <s v="Unidade_504"/>
    <s v="RIO GRANDE DO SUL"/>
    <x v="0"/>
    <x v="503"/>
    <s v="FATURAMENTO"/>
    <s v="Líder_Imed_504"/>
    <s v="Concluído"/>
    <n v="9"/>
    <s v="100%"/>
    <s v="Concluído"/>
    <n v="78"/>
    <n v="78"/>
  </r>
  <r>
    <s v="Colaborador_505"/>
    <s v="ANALISTA DE PLANEJ LOGIST II"/>
    <s v="PROFISSIONAIS_II"/>
    <s v="MAT_505"/>
    <s v="Unidade_505"/>
    <s v="BAHIA"/>
    <x v="1"/>
    <x v="504"/>
    <s v="SUPPLY CHAIN"/>
    <s v="Líder_Imed_505"/>
    <s v="Concluído"/>
    <n v="5"/>
    <s v="100%"/>
    <s v="Concluído"/>
    <n v="62"/>
    <n v="62"/>
  </r>
  <r>
    <s v="Colaborador_506"/>
    <s v="ANALISTA DE CUSTOMER SERVICE II"/>
    <s v="PROFISSIONAIS_II"/>
    <s v="MAT_506"/>
    <s v="Unidade_506"/>
    <s v="SAO PAULO"/>
    <x v="2"/>
    <x v="505"/>
    <s v="CUSTOMER SERVICE INTERNO"/>
    <s v="Líder_Imed_506"/>
    <s v="Concluído"/>
    <n v="7"/>
    <s v="36%"/>
    <s v="Cursando"/>
    <n v="64"/>
    <n v="23"/>
  </r>
  <r>
    <s v="Colaborador_507"/>
    <s v="ANALISTA DE PLANEJ LOGIST I"/>
    <s v="PROFISSIONAIS_I"/>
    <s v="MAT_507"/>
    <s v="Unidade_507"/>
    <s v="RIO DE JANEIRO"/>
    <x v="1"/>
    <x v="506"/>
    <s v="SUPPLY CHAIN"/>
    <s v="Líder_Imed_507"/>
    <s v="Concluído"/>
    <n v="5"/>
    <s v="100%"/>
    <s v="Concluído"/>
    <n v="72"/>
    <n v="72"/>
  </r>
  <r>
    <s v="Colaborador_508"/>
    <s v="ANALISTA DE PLANEJ LOGIST II"/>
    <s v="PROFISSIONAIS_II"/>
    <s v="MAT_508"/>
    <s v="Unidade_508"/>
    <s v="RIO DE JANEIRO"/>
    <x v="1"/>
    <x v="507"/>
    <s v="SUPPLY CHAIN"/>
    <s v="Líder_Imed_508"/>
    <s v="Concluído"/>
    <n v="7"/>
    <s v="100%"/>
    <s v="Concluído"/>
    <n v="64"/>
    <n v="64"/>
  </r>
  <r>
    <s v="Colaborador_509"/>
    <s v="ANALISTA DE PLANEJ LOGIST III"/>
    <s v="PROFISSIONAIS_III"/>
    <s v="MAT_509"/>
    <s v="Unidade_509"/>
    <s v="CEARA"/>
    <x v="1"/>
    <x v="508"/>
    <s v="SUPPLY CHAIN"/>
    <s v="Líder_Imed_509"/>
    <s v="Concluído"/>
    <n v="9"/>
    <s v="100%"/>
    <s v="Concluído"/>
    <n v="80"/>
    <n v="80"/>
  </r>
  <r>
    <s v="Colaborador_510"/>
    <s v="ASSISTENTE DE OP LOGISTICA II"/>
    <s v="ASSISTENTE"/>
    <s v="MAT_510"/>
    <s v="Unidade_510"/>
    <s v="RIO GRANDE DO SUL"/>
    <x v="0"/>
    <x v="509"/>
    <s v="ALMOXARIFADO DE PRODUTO ACABADO"/>
    <s v="Líder_Imed_510"/>
    <s v="Concluído"/>
    <n v="7"/>
    <s v="100%"/>
    <s v="Concluído"/>
    <n v="62"/>
    <n v="62"/>
  </r>
  <r>
    <s v="Colaborador_511"/>
    <s v="ASSISTENTE DE OP LOGISTICA III"/>
    <s v="ASSISTENTE"/>
    <s v="MAT_511"/>
    <s v="Unidade_511"/>
    <s v="SAO PAULO"/>
    <x v="0"/>
    <x v="510"/>
    <s v="APOIO DISTRIBUICAO GRU 1º­ TURNO    "/>
    <s v="Líder_Imed_511"/>
    <s v="Concluído"/>
    <n v="0"/>
    <s v="100%"/>
    <s v="Concluído"/>
    <n v="84"/>
    <n v="84"/>
  </r>
  <r>
    <s v="Colaborador_512"/>
    <s v="ASSISTENTE DE CUSTOMER SERVICE"/>
    <s v="ASSISTENTE_ESPECIFICO"/>
    <s v="MAT_512"/>
    <s v="Unidade_512"/>
    <s v="SAO PAULO"/>
    <x v="2"/>
    <x v="511"/>
    <s v="CUSTOMER SERVICE SCS                "/>
    <s v="Líder_Imed_512"/>
    <s v="Concluído"/>
    <n v="9"/>
    <s v="100%"/>
    <s v="Concluído"/>
    <n v="80"/>
    <n v="80"/>
  </r>
  <r>
    <s v="Colaborador_513"/>
    <s v="ANALISTA DE CUSTOMER SERVICE I"/>
    <s v="PROFISSIONAIS_I"/>
    <s v="MAT_513"/>
    <s v="Unidade_513"/>
    <s v="SAO PAULO"/>
    <x v="2"/>
    <x v="512"/>
    <s v="PROC CUSTOMER SERVICE SCS           "/>
    <s v="Líder_Imed_513"/>
    <s v="Concluído"/>
    <n v="8"/>
    <s v="11%"/>
    <s v="Cursando"/>
    <n v="97"/>
    <n v="11"/>
  </r>
  <r>
    <s v="Colaborador_514"/>
    <s v="ESTAGIARIO"/>
    <s v="ESTAGIARIO"/>
    <s v="MAT_514"/>
    <s v="Unidade_514"/>
    <s v="SAO PAULO"/>
    <x v="2"/>
    <x v="513"/>
    <s v="PROC CUSTOMER SERVICE SCS           "/>
    <s v="Líder_Imed_514"/>
    <s v="Concluído"/>
    <n v="0"/>
    <s v="100%"/>
    <s v="Concluído"/>
    <n v="80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369B9-F2DE-4B76-9395-A849CEFAABFC}" name="Tabela dinâmica1" cacheId="33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 rowHeaderCaption="Gerência Corporativa" colHeaderCaption="-">
  <location ref="B12:E19" firstHeaderRow="1" firstDataRow="2" firstDataCol="1"/>
  <pivotFields count="16">
    <pivotField axis="axisRow" showAll="0">
      <items count="1060"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1043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1044"/>
        <item m="1" x="560"/>
        <item m="1" x="559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1045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4"/>
        <item m="1" x="603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1046"/>
        <item m="1" x="659"/>
        <item m="1" x="1036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70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1047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1048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1037"/>
        <item m="1" x="740"/>
        <item m="1" x="741"/>
        <item m="1" x="742"/>
        <item m="1" x="743"/>
        <item m="1" x="744"/>
        <item m="1" x="745"/>
        <item m="1" x="747"/>
        <item m="1" x="748"/>
        <item m="1" x="749"/>
        <item m="1" x="746"/>
        <item m="1" x="750"/>
        <item m="1" x="751"/>
        <item m="1" x="1038"/>
        <item m="1" x="752"/>
        <item m="1" x="753"/>
        <item m="1" x="754"/>
        <item m="1" x="755"/>
        <item m="1" x="756"/>
        <item m="1" x="757"/>
        <item m="1" x="758"/>
        <item m="1" x="759"/>
        <item m="1" x="104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1042"/>
        <item m="1" x="812"/>
        <item m="1" x="813"/>
        <item m="1" x="814"/>
        <item m="1" x="1039"/>
        <item m="1" x="815"/>
        <item m="1" x="816"/>
        <item m="1" x="817"/>
        <item m="1" x="818"/>
        <item m="1" x="819"/>
        <item m="1" x="820"/>
        <item m="1" x="821"/>
        <item m="1" x="822"/>
        <item m="1" x="1050"/>
        <item m="1" x="1051"/>
        <item m="1" x="823"/>
        <item m="1" x="824"/>
        <item m="1" x="825"/>
        <item m="1" x="826"/>
        <item m="1" x="827"/>
        <item m="1" x="828"/>
        <item m="1" x="829"/>
        <item m="1" x="1052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1053"/>
        <item m="1" x="842"/>
        <item m="1" x="843"/>
        <item m="1" x="846"/>
        <item m="1" x="844"/>
        <item m="1" x="845"/>
        <item m="1" x="847"/>
        <item m="1" x="848"/>
        <item m="1" x="849"/>
        <item m="1" x="850"/>
        <item m="1" x="851"/>
        <item m="1" x="852"/>
        <item m="1" x="854"/>
        <item m="1" x="853"/>
        <item m="1" x="855"/>
        <item m="1" x="856"/>
        <item m="1" x="863"/>
        <item m="1" x="857"/>
        <item m="1" x="862"/>
        <item m="1" x="858"/>
        <item m="1" x="859"/>
        <item m="1" x="1054"/>
        <item m="1" x="860"/>
        <item m="1" x="864"/>
        <item m="1" x="861"/>
        <item m="1" x="865"/>
        <item m="1" x="866"/>
        <item m="1" x="869"/>
        <item m="1" x="867"/>
        <item m="1" x="868"/>
        <item m="1" x="870"/>
        <item m="1" x="871"/>
        <item m="1" x="873"/>
        <item m="1" x="872"/>
        <item m="1" x="874"/>
        <item m="1" x="875"/>
        <item m="1" x="876"/>
        <item m="1" x="879"/>
        <item m="1" x="877"/>
        <item m="1" x="878"/>
        <item m="1" x="880"/>
        <item m="1" x="881"/>
        <item m="1" x="882"/>
        <item m="1" x="883"/>
        <item m="1" x="884"/>
        <item m="1" x="885"/>
        <item m="1" x="886"/>
        <item m="1" x="887"/>
        <item m="1" x="1055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1058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1040"/>
        <item m="1" x="973"/>
        <item m="1" x="974"/>
        <item m="1" x="975"/>
        <item m="1" x="976"/>
        <item m="1" x="977"/>
        <item m="1" x="978"/>
        <item m="1" x="1035"/>
        <item m="1" x="979"/>
        <item m="1" x="1041"/>
        <item m="1" x="980"/>
        <item m="1" x="981"/>
        <item m="1" x="982"/>
        <item m="1" x="1056"/>
        <item m="1" x="983"/>
        <item m="1" x="986"/>
        <item m="1" x="984"/>
        <item m="1" x="985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57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1"/>
        <item m="1" x="1020"/>
        <item m="1" x="1022"/>
        <item m="1" x="1023"/>
        <item m="1" x="1024"/>
        <item m="1" x="1025"/>
        <item m="1" x="1026"/>
        <item m="1" x="1027"/>
        <item m="1" x="1028"/>
        <item m="1" x="1031"/>
        <item m="1" x="1029"/>
        <item m="1" x="1032"/>
        <item m="1" x="1030"/>
        <item m="1" x="1033"/>
        <item m="1" x="10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t="default"/>
      </items>
    </pivotField>
    <pivotField showAll="0"/>
    <pivotField showAll="0"/>
    <pivotField showAll="0"/>
    <pivotField showAll="0">
      <items count="550">
        <item m="1" x="544"/>
        <item m="1" x="540"/>
        <item m="1" x="523"/>
        <item m="1" x="524"/>
        <item m="1" x="543"/>
        <item m="1" x="531"/>
        <item m="1" x="539"/>
        <item m="1" x="517"/>
        <item m="1" x="519"/>
        <item m="1" x="530"/>
        <item m="1" x="522"/>
        <item m="1" x="529"/>
        <item m="1" x="537"/>
        <item m="1" x="520"/>
        <item m="1" x="518"/>
        <item m="1" x="541"/>
        <item m="1" x="547"/>
        <item m="1" x="534"/>
        <item m="1" x="521"/>
        <item m="1" x="542"/>
        <item m="1" x="533"/>
        <item m="1" x="526"/>
        <item m="1" x="546"/>
        <item m="1" x="536"/>
        <item m="1" x="538"/>
        <item m="1" x="525"/>
        <item m="1" x="527"/>
        <item m="1" x="532"/>
        <item m="1" x="535"/>
        <item m="1" x="5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m="1" x="528"/>
        <item m="1" x="548"/>
        <item t="default"/>
      </items>
    </pivotField>
    <pivotField showAll="0">
      <items count="22">
        <item x="12"/>
        <item x="16"/>
        <item x="2"/>
        <item x="0"/>
        <item x="17"/>
        <item x="9"/>
        <item x="1"/>
        <item x="8"/>
        <item x="11"/>
        <item x="15"/>
        <item x="10"/>
        <item x="14"/>
        <item m="1" x="19"/>
        <item x="3"/>
        <item x="13"/>
        <item x="4"/>
        <item x="5"/>
        <item x="6"/>
        <item x="7"/>
        <item x="18"/>
        <item m="1" x="20"/>
        <item t="default"/>
      </items>
    </pivotField>
    <pivotField axis="axisRow" showAll="0">
      <items count="7">
        <item sd="0" x="2"/>
        <item sd="0" x="3"/>
        <item sd="0" x="4"/>
        <item sd="0" x="1"/>
        <item sd="0" x="0"/>
        <item m="1" x="5"/>
        <item t="default"/>
      </items>
    </pivotField>
    <pivotField showAll="0">
      <items count="524">
        <item m="1" x="520"/>
        <item m="1" x="517"/>
        <item m="1" x="5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m="1" x="521"/>
        <item m="1" x="518"/>
        <item m="1" x="522"/>
        <item t="default"/>
      </items>
    </pivotField>
    <pivotField axis="axisRow" showAll="0">
      <items count="50">
        <item sd="0" x="2"/>
        <item sd="0" x="7"/>
        <item sd="0" x="9"/>
        <item sd="0" x="14"/>
        <item sd="0" x="13"/>
        <item sd="0" x="23"/>
        <item sd="0" x="20"/>
        <item sd="0" x="10"/>
        <item x="15"/>
        <item sd="0" x="4"/>
        <item x="6"/>
        <item sd="0" x="8"/>
        <item sd="0" x="11"/>
        <item sd="0" x="18"/>
        <item sd="0" x="19"/>
        <item sd="0" x="16"/>
        <item x="3"/>
        <item x="0"/>
        <item sd="0" x="1"/>
        <item x="5"/>
        <item x="31"/>
        <item sd="0" x="12"/>
        <item x="30"/>
        <item sd="0" m="1" x="48"/>
        <item sd="0" x="32"/>
        <item x="33"/>
        <item sd="0" x="35"/>
        <item x="37"/>
        <item sd="0" x="41"/>
        <item sd="0" x="36"/>
        <item sd="0" x="25"/>
        <item sd="0" x="26"/>
        <item sd="0" x="21"/>
        <item sd="0" x="22"/>
        <item sd="0" x="24"/>
        <item sd="0" x="27"/>
        <item sd="0" x="28"/>
        <item sd="0" x="29"/>
        <item sd="0" x="40"/>
        <item sd="0" x="34"/>
        <item sd="0" x="38"/>
        <item sd="0" x="39"/>
        <item x="17"/>
        <item x="42"/>
        <item x="43"/>
        <item x="44"/>
        <item x="45"/>
        <item x="46"/>
        <item x="47"/>
        <item t="default"/>
      </items>
    </pivotField>
    <pivotField showAll="0">
      <items count="618">
        <item m="1" x="520"/>
        <item m="1" x="613"/>
        <item m="1" x="550"/>
        <item m="1" x="580"/>
        <item m="1" x="523"/>
        <item m="1" x="591"/>
        <item m="1" x="562"/>
        <item m="1" x="548"/>
        <item m="1" x="549"/>
        <item m="1" x="551"/>
        <item m="1" x="524"/>
        <item m="1" x="530"/>
        <item m="1" x="582"/>
        <item m="1" x="542"/>
        <item m="1" x="556"/>
        <item m="1" x="569"/>
        <item m="1" x="559"/>
        <item m="1" x="561"/>
        <item m="1" x="533"/>
        <item m="1" x="614"/>
        <item m="1" x="532"/>
        <item m="1" x="608"/>
        <item m="1" x="584"/>
        <item m="1" x="534"/>
        <item m="1" x="536"/>
        <item m="1" x="610"/>
        <item m="1" x="572"/>
        <item m="1" x="615"/>
        <item m="1" x="554"/>
        <item m="1" x="535"/>
        <item m="1" x="603"/>
        <item m="1" x="578"/>
        <item m="1" x="541"/>
        <item m="1" x="555"/>
        <item m="1" x="553"/>
        <item m="1" x="570"/>
        <item m="1" x="547"/>
        <item m="1" x="558"/>
        <item m="1" x="586"/>
        <item m="1" x="609"/>
        <item m="1" x="576"/>
        <item m="1" x="557"/>
        <item m="1" x="531"/>
        <item m="1" x="592"/>
        <item m="1" x="568"/>
        <item m="1" x="595"/>
        <item m="1" x="602"/>
        <item m="1" x="543"/>
        <item m="1" x="585"/>
        <item m="1" x="589"/>
        <item m="1" x="596"/>
        <item m="1" x="573"/>
        <item m="1" x="565"/>
        <item m="1" x="575"/>
        <item m="1" x="5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m="1" x="597"/>
        <item m="1" x="611"/>
        <item m="1" x="598"/>
        <item m="1" x="521"/>
        <item m="1" x="581"/>
        <item m="1" x="540"/>
        <item m="1" x="612"/>
        <item m="1" x="590"/>
        <item m="1" x="579"/>
        <item m="1" x="564"/>
        <item m="1" x="587"/>
        <item m="1" x="600"/>
        <item m="1" x="607"/>
        <item m="1" x="518"/>
        <item m="1" x="571"/>
        <item m="1" x="544"/>
        <item m="1" x="593"/>
        <item m="1" x="563"/>
        <item m="1" x="527"/>
        <item m="1" x="538"/>
        <item m="1" x="567"/>
        <item m="1" x="566"/>
        <item m="1" x="528"/>
        <item m="1" x="537"/>
        <item m="1" x="517"/>
        <item m="1" x="616"/>
        <item m="1" x="552"/>
        <item m="1" x="560"/>
        <item m="1" x="539"/>
        <item m="1" x="574"/>
        <item m="1" x="526"/>
        <item m="1" x="601"/>
        <item m="1" x="522"/>
        <item m="1" x="583"/>
        <item m="1" x="525"/>
        <item m="1" x="529"/>
        <item m="1" x="519"/>
        <item m="1" x="599"/>
        <item m="1" x="545"/>
        <item m="1" x="577"/>
        <item m="1" x="605"/>
        <item m="1" x="594"/>
        <item m="1" x="604"/>
        <item m="1" x="588"/>
        <item m="1" x="606"/>
        <item t="default"/>
      </items>
    </pivotField>
    <pivotField showAll="0"/>
    <pivotField showAll="0"/>
    <pivotField showAll="0"/>
    <pivotField axis="axisCol" dataField="1" showAll="0">
      <items count="4">
        <item x="1"/>
        <item x="0"/>
        <item m="1" x="2"/>
        <item t="default"/>
      </items>
    </pivotField>
    <pivotField showAll="0"/>
    <pivotField showAll="0"/>
  </pivotFields>
  <rowFields count="3">
    <field x="6"/>
    <field x="8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agem de Status Trilha" fld="13" subtotal="count" baseField="0" baseItem="0"/>
  </dataFields>
  <formats count="3">
    <format dxfId="14">
      <pivotArea collapsedLevelsAreSubtotals="1" fieldPosition="0">
        <references count="2">
          <reference field="6" count="1" selected="0">
            <x v="0"/>
          </reference>
          <reference field="8" count="1">
            <x v="6"/>
          </reference>
        </references>
      </pivotArea>
    </format>
    <format dxfId="13">
      <pivotArea collapsedLevelsAreSubtotals="1" fieldPosition="0">
        <references count="3">
          <reference field="0" count="10">
            <x v="50"/>
            <x v="51"/>
            <x v="67"/>
            <x v="141"/>
            <x v="239"/>
            <x v="271"/>
            <x v="319"/>
            <x v="357"/>
            <x v="477"/>
            <x v="492"/>
          </reference>
          <reference field="6" count="1" selected="0">
            <x v="0"/>
          </reference>
          <reference field="8" count="1" selected="0">
            <x v="6"/>
          </reference>
        </references>
      </pivotArea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2A562-D276-4C82-8082-52BF4936DA17}" name="Tabela dinâmica4" cacheId="43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 rowHeaderCaption="Gerência Corporativa" colHeaderCaption="-">
  <location ref="A3:A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6">
        <item sd="0" x="2"/>
        <item sd="0" x="3"/>
        <item sd="0" x="4"/>
        <item sd="0" x="1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6363E-53E3-4D8B-8B44-5B5EF16D8542}" name="Tabela dinâmica5" cacheId="43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 rowHeaderCaption="Gerência Corporativa" colHeaderCaption="-">
  <location ref="A15:A53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520">
        <item m="1" x="517"/>
        <item m="1" x="516"/>
        <item m="1" x="518"/>
        <item m="1" x="515"/>
        <item m="1" x="5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15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 t="grand">
      <x/>
    </i>
  </rowItems>
  <colItems count="1">
    <i/>
  </colItems>
  <pivotTableStyleInfo name="PivotStyleLight1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derança_Corporativa1" xr10:uid="{9EDCC93A-9F39-4A26-B4EF-DE750E88E218}" sourceName="Liderança Corporativa">
  <pivotTables>
    <pivotTable tabId="10" name="Tabela dinâmica1"/>
  </pivotTables>
  <data>
    <tabular pivotCacheId="623780571">
      <items count="52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  <i x="500" s="1"/>
        <i x="501" s="1"/>
        <i x="502" s="1"/>
        <i x="503" s="1"/>
        <i x="504" s="1"/>
        <i x="505" s="1"/>
        <i x="506" s="1"/>
        <i x="507" s="1"/>
        <i x="508" s="1"/>
        <i x="509" s="1"/>
        <i x="510" s="1"/>
        <i x="511" s="1"/>
        <i x="512" s="1"/>
        <i x="513" s="1"/>
        <i x="514" s="1"/>
        <i x="515" s="1"/>
        <i x="516" s="1"/>
        <i x="520" s="1" nd="1"/>
        <i x="517" s="1" nd="1"/>
        <i x="519" s="1" nd="1"/>
        <i x="521" s="1" nd="1"/>
        <i x="518" s="1" nd="1"/>
        <i x="52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1" xr10:uid="{353D76D0-BF40-4612-86E6-13887B6A82EF}" sourceName="ESTADO">
  <pivotTables>
    <pivotTable tabId="10" name="Tabela dinâmica1"/>
  </pivotTables>
  <data>
    <tabular pivotCacheId="623780571">
      <items count="21">
        <i x="12" s="1"/>
        <i x="16" s="1"/>
        <i x="2" s="1"/>
        <i x="0" s="1"/>
        <i x="17" s="1"/>
        <i x="9" s="1"/>
        <i x="1" s="1"/>
        <i x="8" s="1"/>
        <i x="11" s="1"/>
        <i x="15" s="1"/>
        <i x="10" s="1"/>
        <i x="14" s="1"/>
        <i x="3" s="1"/>
        <i x="13" s="1"/>
        <i x="4" s="1"/>
        <i x="5" s="1"/>
        <i x="6" s="1"/>
        <i x="7" s="1"/>
        <i x="18" s="1"/>
        <i x="19" s="1" nd="1"/>
        <i x="2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1" xr10:uid="{B770CA22-B4D6-4E9D-8ECF-A0443CD66AD1}" sourceName="UNIDADE">
  <pivotTables>
    <pivotTable tabId="10" name="Tabela dinâmica1"/>
  </pivotTables>
  <data>
    <tabular pivotCacheId="623780571">
      <items count="54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  <i x="500" s="1"/>
        <i x="501" s="1"/>
        <i x="502" s="1"/>
        <i x="503" s="1"/>
        <i x="504" s="1"/>
        <i x="505" s="1"/>
        <i x="506" s="1"/>
        <i x="507" s="1"/>
        <i x="508" s="1"/>
        <i x="509" s="1"/>
        <i x="510" s="1"/>
        <i x="511" s="1"/>
        <i x="512" s="1"/>
        <i x="513" s="1"/>
        <i x="514" s="1"/>
        <i x="515" s="1"/>
        <i x="516" s="1"/>
        <i x="544" s="1" nd="1"/>
        <i x="540" s="1" nd="1"/>
        <i x="523" s="1" nd="1"/>
        <i x="524" s="1" nd="1"/>
        <i x="543" s="1" nd="1"/>
        <i x="531" s="1" nd="1"/>
        <i x="539" s="1" nd="1"/>
        <i x="517" s="1" nd="1"/>
        <i x="519" s="1" nd="1"/>
        <i x="530" s="1" nd="1"/>
        <i x="522" s="1" nd="1"/>
        <i x="529" s="1" nd="1"/>
        <i x="537" s="1" nd="1"/>
        <i x="520" s="1" nd="1"/>
        <i x="518" s="1" nd="1"/>
        <i x="541" s="1" nd="1"/>
        <i x="547" s="1" nd="1"/>
        <i x="534" s="1" nd="1"/>
        <i x="521" s="1" nd="1"/>
        <i x="542" s="1" nd="1"/>
        <i x="533" s="1" nd="1"/>
        <i x="526" s="1" nd="1"/>
        <i x="546" s="1" nd="1"/>
        <i x="536" s="1" nd="1"/>
        <i x="538" s="1" nd="1"/>
        <i x="525" s="1" nd="1"/>
        <i x="527" s="1" nd="1"/>
        <i x="532" s="1" nd="1"/>
        <i x="535" s="1" nd="1"/>
        <i x="545" s="1" nd="1"/>
        <i x="528" s="1" nd="1"/>
        <i x="548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rência1" xr10:uid="{78C24695-D11B-4593-9C6E-A9F435B34821}" sourceName="Gerência">
  <pivotTables>
    <pivotTable tabId="10" name="Tabela dinâmica1"/>
  </pivotTables>
  <data>
    <tabular pivotCacheId="623780571">
      <items count="49">
        <i x="34" s="1"/>
        <i x="24" s="1"/>
        <i x="45" s="1"/>
        <i x="2" s="1"/>
        <i x="7" s="1"/>
        <i x="29" s="1"/>
        <i x="42" s="1"/>
        <i x="9" s="1"/>
        <i x="14" s="1"/>
        <i x="13" s="1"/>
        <i x="23" s="1"/>
        <i x="33" s="1"/>
        <i x="47" s="1"/>
        <i x="40" s="1"/>
        <i x="20" s="1"/>
        <i x="10" s="1"/>
        <i x="43" s="1"/>
        <i x="35" s="1"/>
        <i x="15" s="1"/>
        <i x="25" s="1"/>
        <i x="22" s="1"/>
        <i x="41" s="1"/>
        <i x="4" s="1"/>
        <i x="46" s="1"/>
        <i x="21" s="1"/>
        <i x="6" s="1"/>
        <i x="12" s="1"/>
        <i x="8" s="1"/>
        <i x="11" s="1"/>
        <i x="37" s="1"/>
        <i x="30" s="1"/>
        <i x="1" s="1"/>
        <i x="18" s="1"/>
        <i x="17" s="1"/>
        <i x="27" s="1"/>
        <i x="36" s="1"/>
        <i x="19" s="1"/>
        <i x="16" s="1"/>
        <i x="44" s="1"/>
        <i x="28" s="1"/>
        <i x="32" s="1"/>
        <i x="5" s="1"/>
        <i x="31" s="1"/>
        <i x="3" s="1"/>
        <i x="26" s="1"/>
        <i x="0" s="1"/>
        <i x="38" s="1"/>
        <i x="39" s="1"/>
        <i x="48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derança_Imediata1" xr10:uid="{5A37C9DD-96DE-4B8E-9501-B7DE687FE1F9}" sourceName="Liderança Imediata">
  <pivotTables>
    <pivotTable tabId="10" name="Tabela dinâmica1"/>
  </pivotTables>
  <data>
    <tabular pivotCacheId="623780571">
      <items count="61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  <i x="500" s="1"/>
        <i x="501" s="1"/>
        <i x="502" s="1"/>
        <i x="503" s="1"/>
        <i x="504" s="1"/>
        <i x="505" s="1"/>
        <i x="506" s="1"/>
        <i x="507" s="1"/>
        <i x="508" s="1"/>
        <i x="509" s="1"/>
        <i x="510" s="1"/>
        <i x="511" s="1"/>
        <i x="512" s="1"/>
        <i x="513" s="1"/>
        <i x="514" s="1"/>
        <i x="515" s="1"/>
        <i x="516" s="1"/>
        <i x="520" s="1" nd="1"/>
        <i x="613" s="1" nd="1"/>
        <i x="550" s="1" nd="1"/>
        <i x="580" s="1" nd="1"/>
        <i x="523" s="1" nd="1"/>
        <i x="591" s="1" nd="1"/>
        <i x="562" s="1" nd="1"/>
        <i x="548" s="1" nd="1"/>
        <i x="549" s="1" nd="1"/>
        <i x="551" s="1" nd="1"/>
        <i x="524" s="1" nd="1"/>
        <i x="530" s="1" nd="1"/>
        <i x="582" s="1" nd="1"/>
        <i x="542" s="1" nd="1"/>
        <i x="556" s="1" nd="1"/>
        <i x="569" s="1" nd="1"/>
        <i x="559" s="1" nd="1"/>
        <i x="561" s="1" nd="1"/>
        <i x="533" s="1" nd="1"/>
        <i x="614" s="1" nd="1"/>
        <i x="532" s="1" nd="1"/>
        <i x="608" s="1" nd="1"/>
        <i x="584" s="1" nd="1"/>
        <i x="534" s="1" nd="1"/>
        <i x="536" s="1" nd="1"/>
        <i x="610" s="1" nd="1"/>
        <i x="572" s="1" nd="1"/>
        <i x="615" s="1" nd="1"/>
        <i x="554" s="1" nd="1"/>
        <i x="535" s="1" nd="1"/>
        <i x="603" s="1" nd="1"/>
        <i x="578" s="1" nd="1"/>
        <i x="541" s="1" nd="1"/>
        <i x="555" s="1" nd="1"/>
        <i x="553" s="1" nd="1"/>
        <i x="570" s="1" nd="1"/>
        <i x="547" s="1" nd="1"/>
        <i x="558" s="1" nd="1"/>
        <i x="586" s="1" nd="1"/>
        <i x="609" s="1" nd="1"/>
        <i x="576" s="1" nd="1"/>
        <i x="557" s="1" nd="1"/>
        <i x="531" s="1" nd="1"/>
        <i x="592" s="1" nd="1"/>
        <i x="568" s="1" nd="1"/>
        <i x="595" s="1" nd="1"/>
        <i x="602" s="1" nd="1"/>
        <i x="543" s="1" nd="1"/>
        <i x="585" s="1" nd="1"/>
        <i x="589" s="1" nd="1"/>
        <i x="596" s="1" nd="1"/>
        <i x="573" s="1" nd="1"/>
        <i x="565" s="1" nd="1"/>
        <i x="575" s="1" nd="1"/>
        <i x="546" s="1" nd="1"/>
        <i x="597" s="1" nd="1"/>
        <i x="611" s="1" nd="1"/>
        <i x="598" s="1" nd="1"/>
        <i x="521" s="1" nd="1"/>
        <i x="581" s="1" nd="1"/>
        <i x="540" s="1" nd="1"/>
        <i x="612" s="1" nd="1"/>
        <i x="590" s="1" nd="1"/>
        <i x="579" s="1" nd="1"/>
        <i x="564" s="1" nd="1"/>
        <i x="587" s="1" nd="1"/>
        <i x="600" s="1" nd="1"/>
        <i x="607" s="1" nd="1"/>
        <i x="518" s="1" nd="1"/>
        <i x="571" s="1" nd="1"/>
        <i x="544" s="1" nd="1"/>
        <i x="593" s="1" nd="1"/>
        <i x="563" s="1" nd="1"/>
        <i x="527" s="1" nd="1"/>
        <i x="538" s="1" nd="1"/>
        <i x="567" s="1" nd="1"/>
        <i x="566" s="1" nd="1"/>
        <i x="528" s="1" nd="1"/>
        <i x="537" s="1" nd="1"/>
        <i x="517" s="1" nd="1"/>
        <i x="616" s="1" nd="1"/>
        <i x="552" s="1" nd="1"/>
        <i x="560" s="1" nd="1"/>
        <i x="539" s="1" nd="1"/>
        <i x="574" s="1" nd="1"/>
        <i x="526" s="1" nd="1"/>
        <i x="601" s="1" nd="1"/>
        <i x="522" s="1" nd="1"/>
        <i x="583" s="1" nd="1"/>
        <i x="525" s="1" nd="1"/>
        <i x="529" s="1" nd="1"/>
        <i x="519" s="1" nd="1"/>
        <i x="599" s="1" nd="1"/>
        <i x="545" s="1" nd="1"/>
        <i x="577" s="1" nd="1"/>
        <i x="605" s="1" nd="1"/>
        <i x="594" s="1" nd="1"/>
        <i x="604" s="1" nd="1"/>
        <i x="588" s="1" nd="1"/>
        <i x="60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iderança Corporativa 1" xr10:uid="{50EC8BB8-6374-4AD1-9EAF-C22B9FD4D7E3}" cache="SegmentaçãodeDados_Liderança_Corporativa1" caption="Liderança Corporativa" columnCount="5" style="SlicerStyleLight4" rowHeight="257175"/>
  <slicer name="ESTADO 1" xr10:uid="{B1C0D4E4-CE92-4A35-BD27-B207060CCA9B}" cache="SegmentaçãodeDados_ESTADO1" caption="ESTADO" style="SlicerStyleLight4" rowHeight="257175"/>
  <slicer name="UNIDADE 1" xr10:uid="{56D9C922-DDBA-4808-9C27-9E38BA8E78E2}" cache="SegmentaçãodeDados_UNIDADE1" caption="UNIDADE" startItem="11" style="SlicerStyleLight4" rowHeight="257175"/>
  <slicer name="Gerência 1" xr10:uid="{B9B4D5F6-D09A-4783-9EED-52972CF22768}" cache="SegmentaçãodeDados_Gerência1" caption="Gerência" startItem="3" style="SlicerStyleLight4" rowHeight="257175"/>
  <slicer name="Liderança Imediata 1" xr10:uid="{9208C338-26CB-4A76-98F4-5984B0D37326}" cache="SegmentaçãodeDados_Liderança_Imediata1" caption="Liderança Imediata" startItem="80" style="SlicerStyleLight4" rowHeight="25717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3" dT="2024-06-26T16:39:29.14" personId="{C9D8FA70-41BF-429F-AFBA-9CF8AAE252D6}" id="{CE30100E-E0CE-41A8-9481-1F10509A89A1}">
    <text>Para detalhar o andamento de cada colaborador na trilha, dê 2 cliques no total desta coluna por gerência.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7" Type="http://schemas.microsoft.com/office/2017/10/relationships/threadedComment" Target="../threadedComments/threadedComment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2241-2292-4C05-8C3A-F53871A34E7E}">
  <dimension ref="A1:A30"/>
  <sheetViews>
    <sheetView showGridLines="0" showRowColHeaders="0" workbookViewId="0">
      <selection activeCell="G21" sqref="G21"/>
    </sheetView>
  </sheetViews>
  <sheetFormatPr defaultRowHeight="15.75" x14ac:dyDescent="0.25"/>
  <sheetData>
    <row r="1" s="8" customFormat="1" x14ac:dyDescent="0.25"/>
    <row r="2" s="8" customFormat="1" x14ac:dyDescent="0.25"/>
    <row r="3" s="8" customFormat="1" x14ac:dyDescent="0.25"/>
    <row r="4" s="8" customFormat="1" x14ac:dyDescent="0.25"/>
    <row r="5" s="8" customFormat="1" x14ac:dyDescent="0.25"/>
    <row r="6" s="8" customFormat="1" x14ac:dyDescent="0.25"/>
    <row r="7" s="8" customFormat="1" x14ac:dyDescent="0.25"/>
    <row r="8" s="8" customFormat="1" x14ac:dyDescent="0.25"/>
    <row r="9" s="8" customFormat="1" x14ac:dyDescent="0.25"/>
    <row r="10" s="8" customFormat="1" x14ac:dyDescent="0.25"/>
    <row r="11" s="8" customFormat="1" x14ac:dyDescent="0.25"/>
    <row r="12" s="8" customFormat="1" x14ac:dyDescent="0.25"/>
    <row r="13" s="8" customFormat="1" x14ac:dyDescent="0.25"/>
    <row r="14" s="8" customFormat="1" x14ac:dyDescent="0.25"/>
    <row r="15" s="8" customFormat="1" x14ac:dyDescent="0.25"/>
    <row r="16" s="8" customFormat="1" x14ac:dyDescent="0.25"/>
    <row r="17" s="8" customFormat="1" x14ac:dyDescent="0.25"/>
    <row r="18" s="8" customFormat="1" x14ac:dyDescent="0.25"/>
    <row r="19" s="8" customFormat="1" x14ac:dyDescent="0.25"/>
    <row r="20" s="8" customFormat="1" x14ac:dyDescent="0.25"/>
    <row r="21" s="8" customFormat="1" x14ac:dyDescent="0.25"/>
    <row r="22" s="8" customFormat="1" x14ac:dyDescent="0.25"/>
    <row r="23" s="8" customFormat="1" x14ac:dyDescent="0.25"/>
    <row r="24" s="8" customFormat="1" x14ac:dyDescent="0.25"/>
    <row r="25" s="8" customFormat="1" x14ac:dyDescent="0.25"/>
    <row r="26" s="8" customFormat="1" x14ac:dyDescent="0.25"/>
    <row r="27" s="8" customFormat="1" x14ac:dyDescent="0.25"/>
    <row r="28" s="8" customFormat="1" x14ac:dyDescent="0.25"/>
    <row r="29" s="8" customFormat="1" x14ac:dyDescent="0.25"/>
    <row r="30" s="8" customFormat="1" x14ac:dyDescent="0.25"/>
  </sheetData>
  <pageMargins left="0.511811024" right="0.511811024" top="0.78740157499999996" bottom="0.78740157499999996" header="0.31496062000000002" footer="0.31496062000000002"/>
  <headerFooter>
    <oddFooter>&amp;C_x000D_&amp;1#&amp;"Aptos"&amp;9&amp;K000000 [M. Dias Branco - Interno]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4B62-BF4D-48C0-B31A-DF370D9DAF15}">
  <dimension ref="B1:F23"/>
  <sheetViews>
    <sheetView showGridLines="0" showRowColHeaders="0" tabSelected="1" zoomScale="80" zoomScaleNormal="80" workbookViewId="0">
      <pane ySplit="6" topLeftCell="A9" activePane="bottomLeft" state="frozen"/>
      <selection pane="bottomLeft" activeCell="E18" sqref="E18"/>
    </sheetView>
  </sheetViews>
  <sheetFormatPr defaultRowHeight="15.75" x14ac:dyDescent="0.25"/>
  <cols>
    <col min="1" max="1" width="36.125" customWidth="1"/>
    <col min="2" max="2" width="49.875" bestFit="1" customWidth="1"/>
    <col min="3" max="3" width="9.375" bestFit="1" customWidth="1"/>
    <col min="4" max="4" width="9" bestFit="1" customWidth="1"/>
    <col min="5" max="5" width="10.25" bestFit="1" customWidth="1"/>
    <col min="6" max="6" width="9.875" bestFit="1" customWidth="1"/>
    <col min="7" max="8" width="10.25" bestFit="1" customWidth="1"/>
    <col min="9" max="12" width="4.875" bestFit="1" customWidth="1"/>
    <col min="13" max="13" width="3.875" bestFit="1" customWidth="1"/>
    <col min="14" max="21" width="4.875" bestFit="1" customWidth="1"/>
    <col min="22" max="22" width="3.875" bestFit="1" customWidth="1"/>
    <col min="23" max="24" width="4.875" bestFit="1" customWidth="1"/>
    <col min="25" max="25" width="3.875" bestFit="1" customWidth="1"/>
    <col min="26" max="31" width="4.875" bestFit="1" customWidth="1"/>
    <col min="32" max="32" width="1.875" bestFit="1" customWidth="1"/>
    <col min="33" max="33" width="3.625" bestFit="1" customWidth="1"/>
    <col min="34" max="34" width="6.75" bestFit="1" customWidth="1"/>
    <col min="35" max="35" width="3.625" bestFit="1" customWidth="1"/>
    <col min="36" max="36" width="6.75" bestFit="1" customWidth="1"/>
    <col min="37" max="37" width="3.625" bestFit="1" customWidth="1"/>
    <col min="38" max="38" width="6.75" bestFit="1" customWidth="1"/>
  </cols>
  <sheetData>
    <row r="1" spans="2:6" s="2" customFormat="1" x14ac:dyDescent="0.25"/>
    <row r="2" spans="2:6" s="2" customFormat="1" x14ac:dyDescent="0.25"/>
    <row r="3" spans="2:6" s="2" customFormat="1" x14ac:dyDescent="0.25"/>
    <row r="4" spans="2:6" s="2" customFormat="1" ht="7.5" customHeight="1" x14ac:dyDescent="0.25"/>
    <row r="5" spans="2:6" s="2" customFormat="1" ht="15" customHeight="1" x14ac:dyDescent="0.25"/>
    <row r="6" spans="2:6" s="4" customFormat="1" x14ac:dyDescent="0.25">
      <c r="B6" s="3" t="s">
        <v>0</v>
      </c>
    </row>
    <row r="7" spans="2:6" s="5" customFormat="1" x14ac:dyDescent="0.25">
      <c r="C7" s="6"/>
    </row>
    <row r="8" spans="2:6" s="5" customFormat="1" x14ac:dyDescent="0.25">
      <c r="C8" s="6"/>
    </row>
    <row r="9" spans="2:6" s="5" customFormat="1" x14ac:dyDescent="0.25">
      <c r="C9" s="6"/>
    </row>
    <row r="10" spans="2:6" s="5" customFormat="1" x14ac:dyDescent="0.25">
      <c r="B10"/>
      <c r="C10"/>
    </row>
    <row r="11" spans="2:6" s="5" customFormat="1" ht="29.25" customHeight="1" x14ac:dyDescent="0.25">
      <c r="B11" s="10" t="s">
        <v>1</v>
      </c>
      <c r="C11" s="6"/>
    </row>
    <row r="12" spans="2:6" ht="15.75" hidden="1" customHeight="1" x14ac:dyDescent="0.25">
      <c r="B12" s="9" t="s">
        <v>2</v>
      </c>
      <c r="C12" s="9" t="s">
        <v>3</v>
      </c>
    </row>
    <row r="13" spans="2:6" x14ac:dyDescent="0.25">
      <c r="B13" s="9" t="s">
        <v>4</v>
      </c>
      <c r="C13" t="s">
        <v>5</v>
      </c>
      <c r="D13" t="s">
        <v>6</v>
      </c>
      <c r="E13" t="s">
        <v>7</v>
      </c>
    </row>
    <row r="14" spans="2:6" x14ac:dyDescent="0.25">
      <c r="B14" s="7" t="s">
        <v>8</v>
      </c>
      <c r="C14" s="29">
        <v>40</v>
      </c>
      <c r="D14" s="29">
        <v>21</v>
      </c>
      <c r="E14" s="29">
        <v>61</v>
      </c>
    </row>
    <row r="15" spans="2:6" x14ac:dyDescent="0.25">
      <c r="B15" s="7" t="s">
        <v>9</v>
      </c>
      <c r="C15" s="29">
        <v>3</v>
      </c>
      <c r="D15" s="29">
        <v>3</v>
      </c>
      <c r="E15" s="29">
        <v>6</v>
      </c>
    </row>
    <row r="16" spans="2:6" x14ac:dyDescent="0.25">
      <c r="B16" s="7" t="s">
        <v>10</v>
      </c>
      <c r="C16" s="29">
        <v>4</v>
      </c>
      <c r="D16" s="29">
        <v>2</v>
      </c>
      <c r="E16" s="29">
        <v>6</v>
      </c>
    </row>
    <row r="17" spans="2:5" x14ac:dyDescent="0.25">
      <c r="B17" s="7" t="s">
        <v>11</v>
      </c>
      <c r="C17" s="29">
        <v>50</v>
      </c>
      <c r="D17" s="29">
        <v>22</v>
      </c>
      <c r="E17" s="29">
        <v>72</v>
      </c>
    </row>
    <row r="18" spans="2:5" x14ac:dyDescent="0.25">
      <c r="B18" s="7" t="s">
        <v>12</v>
      </c>
      <c r="C18" s="29">
        <v>240</v>
      </c>
      <c r="D18" s="29">
        <v>132</v>
      </c>
      <c r="E18" s="29">
        <v>372</v>
      </c>
    </row>
    <row r="19" spans="2:5" x14ac:dyDescent="0.25">
      <c r="B19" s="7" t="s">
        <v>7</v>
      </c>
      <c r="C19" s="29">
        <v>337</v>
      </c>
      <c r="D19" s="29">
        <v>180</v>
      </c>
      <c r="E19" s="29">
        <v>517</v>
      </c>
    </row>
    <row r="21" spans="2:5" x14ac:dyDescent="0.25">
      <c r="C21" s="20"/>
      <c r="D21" s="20"/>
    </row>
    <row r="22" spans="2:5" x14ac:dyDescent="0.25">
      <c r="C22" s="20"/>
      <c r="D22" s="20"/>
    </row>
    <row r="23" spans="2:5" x14ac:dyDescent="0.25">
      <c r="C23" s="26"/>
    </row>
  </sheetData>
  <hyperlinks>
    <hyperlink ref="B6" location="Relatorio!A1" display="Relatório" xr:uid="{8E99C550-3AC2-4806-8DAA-A9FC0A85B317}"/>
  </hyperlinks>
  <pageMargins left="0.511811024" right="0.511811024" top="0.78740157499999996" bottom="0.78740157499999996" header="0.31496062000000002" footer="0.31496062000000002"/>
  <pageSetup paperSize="9" orientation="portrait" r:id="rId2"/>
  <headerFooter>
    <oddFooter>&amp;C_x000D_&amp;1#&amp;"Aptos"&amp;9&amp;K000000 [M. Dias Branco - Interno]</oddFooter>
  </headerFooter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7"/>
  <sheetViews>
    <sheetView topLeftCell="J1" zoomScale="70" zoomScaleNormal="70" workbookViewId="0">
      <pane ySplit="7" topLeftCell="A508" activePane="bottomLeft" state="frozen"/>
      <selection activeCell="A8" sqref="A8"/>
      <selection pane="bottomLeft" activeCell="P8" sqref="P8:P527"/>
    </sheetView>
  </sheetViews>
  <sheetFormatPr defaultRowHeight="15.75" x14ac:dyDescent="0.25"/>
  <cols>
    <col min="1" max="1" width="58.5" customWidth="1"/>
    <col min="2" max="2" width="43.75" customWidth="1"/>
    <col min="3" max="3" width="24.25" customWidth="1"/>
    <col min="4" max="4" width="20.75" style="1" customWidth="1"/>
    <col min="5" max="5" width="25.75" customWidth="1"/>
    <col min="6" max="6" width="21" customWidth="1"/>
    <col min="7" max="7" width="46.875" customWidth="1"/>
    <col min="8" max="8" width="44.5" customWidth="1"/>
    <col min="9" max="10" width="43.75" customWidth="1"/>
    <col min="11" max="11" width="20.625" customWidth="1"/>
    <col min="12" max="12" width="25.75" style="1" customWidth="1"/>
    <col min="13" max="13" width="21.875" style="1" customWidth="1"/>
    <col min="14" max="14" width="18.25" style="11" customWidth="1"/>
    <col min="15" max="15" width="22.75" style="1" customWidth="1"/>
    <col min="16" max="16" width="25.375" style="1" customWidth="1"/>
    <col min="17" max="17" width="28.125" hidden="1" customWidth="1"/>
    <col min="18" max="18" width="29.875" hidden="1" customWidth="1"/>
  </cols>
  <sheetData>
    <row r="1" spans="1:18" s="2" customFormat="1" x14ac:dyDescent="0.25">
      <c r="N1" s="12"/>
    </row>
    <row r="2" spans="1:18" s="2" customFormat="1" x14ac:dyDescent="0.25">
      <c r="N2" s="12"/>
    </row>
    <row r="3" spans="1:18" s="2" customFormat="1" x14ac:dyDescent="0.25">
      <c r="N3" s="12"/>
    </row>
    <row r="4" spans="1:18" s="2" customFormat="1" x14ac:dyDescent="0.25">
      <c r="N4" s="12"/>
    </row>
    <row r="5" spans="1:18" s="2" customFormat="1" x14ac:dyDescent="0.25">
      <c r="N5" s="12"/>
    </row>
    <row r="6" spans="1:18" s="4" customFormat="1" x14ac:dyDescent="0.25">
      <c r="A6" s="21" t="s">
        <v>13</v>
      </c>
      <c r="N6" s="13"/>
    </row>
    <row r="7" spans="1:18" ht="36" customHeight="1" x14ac:dyDescent="0.25">
      <c r="A7" s="16" t="s">
        <v>14</v>
      </c>
      <c r="B7" s="16" t="s">
        <v>15</v>
      </c>
      <c r="C7" s="16" t="s">
        <v>16</v>
      </c>
      <c r="D7" s="17" t="s">
        <v>17</v>
      </c>
      <c r="E7" s="16" t="s">
        <v>18</v>
      </c>
      <c r="F7" s="16" t="s">
        <v>19</v>
      </c>
      <c r="G7" s="16" t="s">
        <v>20</v>
      </c>
      <c r="H7" s="16" t="s">
        <v>21</v>
      </c>
      <c r="I7" s="16" t="s">
        <v>22</v>
      </c>
      <c r="J7" s="16" t="s">
        <v>23</v>
      </c>
      <c r="K7" s="17" t="s">
        <v>24</v>
      </c>
      <c r="L7" s="18" t="s">
        <v>25</v>
      </c>
      <c r="M7" s="17" t="s">
        <v>26</v>
      </c>
      <c r="N7" s="19" t="s">
        <v>27</v>
      </c>
      <c r="O7" s="17" t="s">
        <v>28</v>
      </c>
      <c r="P7" s="17" t="s">
        <v>29</v>
      </c>
      <c r="Q7" s="17" t="s">
        <v>30</v>
      </c>
      <c r="R7" s="17" t="s">
        <v>31</v>
      </c>
    </row>
    <row r="8" spans="1:18" x14ac:dyDescent="0.25">
      <c r="A8" t="s">
        <v>158</v>
      </c>
      <c r="B8" t="s">
        <v>32</v>
      </c>
      <c r="C8" t="s">
        <v>33</v>
      </c>
      <c r="D8" s="1" t="s">
        <v>678</v>
      </c>
      <c r="E8" t="s">
        <v>1198</v>
      </c>
      <c r="F8" t="s">
        <v>34</v>
      </c>
      <c r="G8" t="s">
        <v>12</v>
      </c>
      <c r="H8" t="s">
        <v>1718</v>
      </c>
      <c r="I8" t="s">
        <v>35</v>
      </c>
      <c r="J8" t="s">
        <v>2238</v>
      </c>
      <c r="K8" t="s">
        <v>5</v>
      </c>
      <c r="L8" s="1">
        <v>7</v>
      </c>
      <c r="M8" s="30">
        <v>0.21951219512195122</v>
      </c>
      <c r="N8" s="11" t="s">
        <v>6</v>
      </c>
      <c r="O8" s="1">
        <v>82</v>
      </c>
      <c r="P8" s="1">
        <v>18</v>
      </c>
    </row>
    <row r="9" spans="1:18" x14ac:dyDescent="0.25">
      <c r="A9" t="s">
        <v>159</v>
      </c>
      <c r="B9" t="s">
        <v>36</v>
      </c>
      <c r="C9" t="s">
        <v>37</v>
      </c>
      <c r="D9" s="1" t="s">
        <v>679</v>
      </c>
      <c r="E9" t="s">
        <v>1199</v>
      </c>
      <c r="F9" t="s">
        <v>38</v>
      </c>
      <c r="G9" t="s">
        <v>12</v>
      </c>
      <c r="H9" t="s">
        <v>1719</v>
      </c>
      <c r="I9" t="s">
        <v>39</v>
      </c>
      <c r="J9" t="s">
        <v>2239</v>
      </c>
      <c r="K9" t="s">
        <v>5</v>
      </c>
      <c r="L9" s="1">
        <v>7</v>
      </c>
      <c r="M9" s="30">
        <v>1</v>
      </c>
      <c r="N9" s="11" t="s">
        <v>5</v>
      </c>
      <c r="O9" s="1">
        <v>70</v>
      </c>
      <c r="P9" s="1">
        <v>70</v>
      </c>
      <c r="R9" t="s">
        <v>40</v>
      </c>
    </row>
    <row r="10" spans="1:18" x14ac:dyDescent="0.25">
      <c r="A10" t="s">
        <v>160</v>
      </c>
      <c r="B10" t="s">
        <v>32</v>
      </c>
      <c r="C10" t="s">
        <v>33</v>
      </c>
      <c r="D10" s="1" t="s">
        <v>680</v>
      </c>
      <c r="E10" t="s">
        <v>1200</v>
      </c>
      <c r="F10" t="s">
        <v>41</v>
      </c>
      <c r="G10" t="s">
        <v>12</v>
      </c>
      <c r="H10" t="s">
        <v>1720</v>
      </c>
      <c r="I10" t="s">
        <v>42</v>
      </c>
      <c r="J10" t="s">
        <v>2240</v>
      </c>
      <c r="K10" t="s">
        <v>5</v>
      </c>
      <c r="L10" s="1">
        <v>7</v>
      </c>
      <c r="M10" s="30">
        <v>1</v>
      </c>
      <c r="N10" s="11" t="s">
        <v>5</v>
      </c>
      <c r="O10" s="1">
        <v>118</v>
      </c>
      <c r="P10" s="1">
        <v>118</v>
      </c>
      <c r="R10" t="s">
        <v>40</v>
      </c>
    </row>
    <row r="11" spans="1:18" x14ac:dyDescent="0.25">
      <c r="A11" s="5" t="s">
        <v>161</v>
      </c>
      <c r="B11" t="s">
        <v>32</v>
      </c>
      <c r="C11" t="s">
        <v>33</v>
      </c>
      <c r="D11" s="1" t="s">
        <v>681</v>
      </c>
      <c r="E11" t="s">
        <v>1201</v>
      </c>
      <c r="F11" t="s">
        <v>43</v>
      </c>
      <c r="G11" t="s">
        <v>12</v>
      </c>
      <c r="H11" t="s">
        <v>1721</v>
      </c>
      <c r="I11" t="s">
        <v>42</v>
      </c>
      <c r="J11" t="s">
        <v>2241</v>
      </c>
      <c r="K11" t="s">
        <v>5</v>
      </c>
      <c r="L11" s="1">
        <v>7</v>
      </c>
      <c r="M11" s="30">
        <v>1</v>
      </c>
      <c r="N11" s="11" t="s">
        <v>5</v>
      </c>
      <c r="O11" s="1">
        <v>120</v>
      </c>
      <c r="P11" s="1">
        <v>120</v>
      </c>
      <c r="Q11" t="s">
        <v>44</v>
      </c>
      <c r="R11" t="s">
        <v>40</v>
      </c>
    </row>
    <row r="12" spans="1:18" x14ac:dyDescent="0.25">
      <c r="A12" t="s">
        <v>162</v>
      </c>
      <c r="B12" t="s">
        <v>45</v>
      </c>
      <c r="C12" t="s">
        <v>37</v>
      </c>
      <c r="D12" s="1" t="s">
        <v>682</v>
      </c>
      <c r="E12" t="s">
        <v>1202</v>
      </c>
      <c r="F12" t="s">
        <v>41</v>
      </c>
      <c r="G12" t="s">
        <v>11</v>
      </c>
      <c r="H12" t="s">
        <v>1722</v>
      </c>
      <c r="I12" t="s">
        <v>46</v>
      </c>
      <c r="J12" t="s">
        <v>2242</v>
      </c>
      <c r="K12" t="s">
        <v>5</v>
      </c>
      <c r="L12" s="1">
        <v>5</v>
      </c>
      <c r="M12" s="30">
        <v>1</v>
      </c>
      <c r="N12" s="11" t="s">
        <v>5</v>
      </c>
      <c r="O12" s="1">
        <v>78</v>
      </c>
      <c r="P12" s="1">
        <v>78</v>
      </c>
    </row>
    <row r="13" spans="1:18" x14ac:dyDescent="0.25">
      <c r="A13" t="s">
        <v>163</v>
      </c>
      <c r="B13" t="s">
        <v>47</v>
      </c>
      <c r="C13" t="s">
        <v>48</v>
      </c>
      <c r="D13" s="1" t="s">
        <v>683</v>
      </c>
      <c r="E13" t="s">
        <v>1203</v>
      </c>
      <c r="F13" t="s">
        <v>49</v>
      </c>
      <c r="G13" t="s">
        <v>12</v>
      </c>
      <c r="H13" t="s">
        <v>1723</v>
      </c>
      <c r="I13" t="s">
        <v>50</v>
      </c>
      <c r="J13" t="s">
        <v>2243</v>
      </c>
      <c r="K13" t="s">
        <v>5</v>
      </c>
      <c r="L13" s="1">
        <v>9</v>
      </c>
      <c r="M13" s="30">
        <v>0.41666666666666669</v>
      </c>
      <c r="N13" s="11" t="s">
        <v>6</v>
      </c>
      <c r="O13" s="1">
        <v>84</v>
      </c>
      <c r="P13" s="1">
        <v>35</v>
      </c>
      <c r="R13" t="s">
        <v>40</v>
      </c>
    </row>
    <row r="14" spans="1:18" x14ac:dyDescent="0.25">
      <c r="A14" t="s">
        <v>164</v>
      </c>
      <c r="B14" t="s">
        <v>51</v>
      </c>
      <c r="C14" t="s">
        <v>37</v>
      </c>
      <c r="D14" s="1" t="s">
        <v>684</v>
      </c>
      <c r="E14" t="s">
        <v>1204</v>
      </c>
      <c r="F14" t="s">
        <v>43</v>
      </c>
      <c r="G14" t="s">
        <v>12</v>
      </c>
      <c r="H14" t="s">
        <v>1724</v>
      </c>
      <c r="I14" t="s">
        <v>52</v>
      </c>
      <c r="J14" t="s">
        <v>2244</v>
      </c>
      <c r="K14" t="s">
        <v>5</v>
      </c>
      <c r="L14" s="1">
        <v>9</v>
      </c>
      <c r="M14" s="30">
        <v>1</v>
      </c>
      <c r="N14" s="11" t="s">
        <v>5</v>
      </c>
      <c r="O14" s="1">
        <v>92</v>
      </c>
      <c r="P14" s="1">
        <v>92</v>
      </c>
      <c r="R14" t="s">
        <v>40</v>
      </c>
    </row>
    <row r="15" spans="1:18" x14ac:dyDescent="0.25">
      <c r="A15" t="s">
        <v>165</v>
      </c>
      <c r="B15" t="s">
        <v>53</v>
      </c>
      <c r="C15" t="s">
        <v>48</v>
      </c>
      <c r="D15" s="1" t="s">
        <v>685</v>
      </c>
      <c r="E15" t="s">
        <v>1205</v>
      </c>
      <c r="F15" t="s">
        <v>43</v>
      </c>
      <c r="G15" t="s">
        <v>12</v>
      </c>
      <c r="H15" t="s">
        <v>1725</v>
      </c>
      <c r="I15" t="s">
        <v>52</v>
      </c>
      <c r="J15" t="s">
        <v>2245</v>
      </c>
      <c r="K15" t="s">
        <v>5</v>
      </c>
      <c r="L15" s="1">
        <v>9</v>
      </c>
      <c r="M15" s="30">
        <v>1</v>
      </c>
      <c r="N15" s="11" t="s">
        <v>5</v>
      </c>
      <c r="O15" s="1">
        <v>104</v>
      </c>
      <c r="P15" s="1">
        <v>104</v>
      </c>
      <c r="R15" t="s">
        <v>40</v>
      </c>
    </row>
    <row r="16" spans="1:18" x14ac:dyDescent="0.25">
      <c r="A16" t="s">
        <v>166</v>
      </c>
      <c r="B16" t="s">
        <v>53</v>
      </c>
      <c r="C16" t="s">
        <v>48</v>
      </c>
      <c r="D16" s="1" t="s">
        <v>686</v>
      </c>
      <c r="E16" t="s">
        <v>1206</v>
      </c>
      <c r="F16" t="s">
        <v>34</v>
      </c>
      <c r="G16" t="s">
        <v>12</v>
      </c>
      <c r="H16" t="s">
        <v>1726</v>
      </c>
      <c r="I16" t="s">
        <v>54</v>
      </c>
      <c r="J16" t="s">
        <v>2246</v>
      </c>
      <c r="K16" t="s">
        <v>5</v>
      </c>
      <c r="L16" s="1">
        <v>9</v>
      </c>
      <c r="M16" s="30">
        <v>1</v>
      </c>
      <c r="N16" s="11" t="s">
        <v>5</v>
      </c>
      <c r="O16" s="1">
        <v>86</v>
      </c>
      <c r="P16" s="1">
        <v>86</v>
      </c>
    </row>
    <row r="17" spans="1:18" x14ac:dyDescent="0.25">
      <c r="A17" t="s">
        <v>167</v>
      </c>
      <c r="B17" t="s">
        <v>47</v>
      </c>
      <c r="C17" t="s">
        <v>48</v>
      </c>
      <c r="D17" s="1" t="s">
        <v>687</v>
      </c>
      <c r="E17" t="s">
        <v>1207</v>
      </c>
      <c r="F17" t="s">
        <v>43</v>
      </c>
      <c r="G17" t="s">
        <v>12</v>
      </c>
      <c r="H17" t="s">
        <v>1727</v>
      </c>
      <c r="I17" t="s">
        <v>55</v>
      </c>
      <c r="J17" t="s">
        <v>2247</v>
      </c>
      <c r="K17" t="s">
        <v>5</v>
      </c>
      <c r="L17" s="1">
        <v>18</v>
      </c>
      <c r="M17" s="30">
        <v>0.660377358490566</v>
      </c>
      <c r="N17" s="11" t="s">
        <v>6</v>
      </c>
      <c r="O17" s="1">
        <v>106</v>
      </c>
      <c r="P17" s="1">
        <v>70</v>
      </c>
      <c r="Q17" t="s">
        <v>44</v>
      </c>
      <c r="R17" t="s">
        <v>40</v>
      </c>
    </row>
    <row r="18" spans="1:18" x14ac:dyDescent="0.25">
      <c r="A18" t="s">
        <v>168</v>
      </c>
      <c r="B18" t="s">
        <v>51</v>
      </c>
      <c r="C18" t="s">
        <v>37</v>
      </c>
      <c r="D18" s="1" t="s">
        <v>688</v>
      </c>
      <c r="E18" t="s">
        <v>1208</v>
      </c>
      <c r="F18" t="s">
        <v>41</v>
      </c>
      <c r="G18" t="s">
        <v>12</v>
      </c>
      <c r="H18" t="s">
        <v>1728</v>
      </c>
      <c r="I18" t="s">
        <v>42</v>
      </c>
      <c r="J18" t="s">
        <v>2248</v>
      </c>
      <c r="K18" t="s">
        <v>5</v>
      </c>
      <c r="L18" s="1">
        <v>9</v>
      </c>
      <c r="M18" s="30">
        <v>1</v>
      </c>
      <c r="N18" s="11" t="s">
        <v>5</v>
      </c>
      <c r="O18" s="1">
        <v>104</v>
      </c>
      <c r="P18" s="1">
        <v>104</v>
      </c>
      <c r="R18" t="s">
        <v>40</v>
      </c>
    </row>
    <row r="19" spans="1:18" x14ac:dyDescent="0.25">
      <c r="A19" t="s">
        <v>169</v>
      </c>
      <c r="B19" t="s">
        <v>56</v>
      </c>
      <c r="C19" t="s">
        <v>57</v>
      </c>
      <c r="D19" s="1" t="s">
        <v>689</v>
      </c>
      <c r="E19" t="s">
        <v>1209</v>
      </c>
      <c r="F19" t="s">
        <v>34</v>
      </c>
      <c r="G19" t="s">
        <v>12</v>
      </c>
      <c r="H19" t="s">
        <v>1729</v>
      </c>
      <c r="I19" t="s">
        <v>58</v>
      </c>
      <c r="J19" t="s">
        <v>2249</v>
      </c>
      <c r="K19" t="s">
        <v>5</v>
      </c>
      <c r="L19" s="1">
        <v>7</v>
      </c>
      <c r="M19" s="30">
        <v>0.30508474576271188</v>
      </c>
      <c r="N19" s="11" t="s">
        <v>6</v>
      </c>
      <c r="O19" s="1">
        <v>118</v>
      </c>
      <c r="P19" s="1">
        <v>36</v>
      </c>
      <c r="R19" t="s">
        <v>40</v>
      </c>
    </row>
    <row r="20" spans="1:18" x14ac:dyDescent="0.25">
      <c r="A20" s="24" t="s">
        <v>170</v>
      </c>
      <c r="B20" s="24" t="s">
        <v>32</v>
      </c>
      <c r="C20" s="24" t="s">
        <v>33</v>
      </c>
      <c r="D20" s="22" t="s">
        <v>690</v>
      </c>
      <c r="E20" s="24" t="s">
        <v>1210</v>
      </c>
      <c r="F20" s="24" t="s">
        <v>43</v>
      </c>
      <c r="G20" s="24" t="s">
        <v>12</v>
      </c>
      <c r="H20" s="24" t="s">
        <v>1730</v>
      </c>
      <c r="I20" s="24" t="s">
        <v>52</v>
      </c>
      <c r="J20" s="24" t="s">
        <v>2250</v>
      </c>
      <c r="K20" s="24" t="s">
        <v>5</v>
      </c>
      <c r="L20" s="22">
        <v>7</v>
      </c>
      <c r="M20" s="30">
        <v>1</v>
      </c>
      <c r="N20" s="11" t="s">
        <v>5</v>
      </c>
      <c r="O20" s="22">
        <v>66</v>
      </c>
      <c r="P20" s="1">
        <v>66</v>
      </c>
      <c r="R20" t="s">
        <v>40</v>
      </c>
    </row>
    <row r="21" spans="1:18" x14ac:dyDescent="0.25">
      <c r="A21" t="s">
        <v>171</v>
      </c>
      <c r="B21" t="s">
        <v>32</v>
      </c>
      <c r="C21" t="s">
        <v>33</v>
      </c>
      <c r="D21" s="1" t="s">
        <v>691</v>
      </c>
      <c r="E21" t="s">
        <v>1211</v>
      </c>
      <c r="F21" t="s">
        <v>43</v>
      </c>
      <c r="G21" t="s">
        <v>12</v>
      </c>
      <c r="H21" t="s">
        <v>1731</v>
      </c>
      <c r="I21" t="s">
        <v>42</v>
      </c>
      <c r="J21" t="s">
        <v>2251</v>
      </c>
      <c r="K21" t="s">
        <v>5</v>
      </c>
      <c r="L21" s="1">
        <v>6</v>
      </c>
      <c r="M21" s="30">
        <v>1</v>
      </c>
      <c r="N21" s="11" t="s">
        <v>5</v>
      </c>
      <c r="O21" s="1">
        <v>65</v>
      </c>
      <c r="P21" s="1">
        <v>65</v>
      </c>
      <c r="R21" t="s">
        <v>40</v>
      </c>
    </row>
    <row r="22" spans="1:18" x14ac:dyDescent="0.25">
      <c r="A22" t="s">
        <v>172</v>
      </c>
      <c r="B22" t="s">
        <v>53</v>
      </c>
      <c r="C22" t="s">
        <v>48</v>
      </c>
      <c r="D22" s="1" t="s">
        <v>692</v>
      </c>
      <c r="E22" t="s">
        <v>1212</v>
      </c>
      <c r="F22" t="s">
        <v>34</v>
      </c>
      <c r="G22" t="s">
        <v>12</v>
      </c>
      <c r="H22" t="s">
        <v>1732</v>
      </c>
      <c r="I22" t="s">
        <v>59</v>
      </c>
      <c r="J22" t="s">
        <v>2252</v>
      </c>
      <c r="K22" t="s">
        <v>5</v>
      </c>
      <c r="L22" s="1">
        <v>9</v>
      </c>
      <c r="M22" s="30">
        <v>1</v>
      </c>
      <c r="N22" s="11" t="s">
        <v>5</v>
      </c>
      <c r="O22" s="1">
        <v>120</v>
      </c>
      <c r="P22" s="1">
        <v>120</v>
      </c>
      <c r="R22" t="s">
        <v>40</v>
      </c>
    </row>
    <row r="23" spans="1:18" x14ac:dyDescent="0.25">
      <c r="A23" t="s">
        <v>173</v>
      </c>
      <c r="B23" t="s">
        <v>53</v>
      </c>
      <c r="C23" t="s">
        <v>48</v>
      </c>
      <c r="D23" s="1" t="s">
        <v>693</v>
      </c>
      <c r="E23" t="s">
        <v>1213</v>
      </c>
      <c r="F23" t="s">
        <v>34</v>
      </c>
      <c r="G23" t="s">
        <v>11</v>
      </c>
      <c r="H23" t="s">
        <v>1733</v>
      </c>
      <c r="I23" t="s">
        <v>46</v>
      </c>
      <c r="J23" t="s">
        <v>2253</v>
      </c>
      <c r="K23" t="s">
        <v>5</v>
      </c>
      <c r="L23" s="1">
        <v>9</v>
      </c>
      <c r="M23" s="30">
        <v>1</v>
      </c>
      <c r="N23" s="11" t="s">
        <v>5</v>
      </c>
      <c r="O23" s="1">
        <v>120</v>
      </c>
      <c r="P23" s="1">
        <v>120</v>
      </c>
      <c r="R23" t="s">
        <v>40</v>
      </c>
    </row>
    <row r="24" spans="1:18" x14ac:dyDescent="0.25">
      <c r="A24" t="s">
        <v>174</v>
      </c>
      <c r="B24" t="s">
        <v>60</v>
      </c>
      <c r="C24" t="s">
        <v>37</v>
      </c>
      <c r="D24" s="1" t="s">
        <v>694</v>
      </c>
      <c r="E24" t="s">
        <v>1214</v>
      </c>
      <c r="F24" t="s">
        <v>34</v>
      </c>
      <c r="G24" t="s">
        <v>8</v>
      </c>
      <c r="H24" t="s">
        <v>1734</v>
      </c>
      <c r="I24" t="s">
        <v>61</v>
      </c>
      <c r="J24" t="s">
        <v>2254</v>
      </c>
      <c r="K24" t="s">
        <v>5</v>
      </c>
      <c r="L24" s="1">
        <v>9</v>
      </c>
      <c r="M24" s="30">
        <v>1</v>
      </c>
      <c r="N24" s="11" t="s">
        <v>5</v>
      </c>
      <c r="O24" s="1">
        <v>80</v>
      </c>
      <c r="P24" s="1">
        <v>80</v>
      </c>
      <c r="R24" t="s">
        <v>40</v>
      </c>
    </row>
    <row r="25" spans="1:18" x14ac:dyDescent="0.25">
      <c r="A25" t="s">
        <v>175</v>
      </c>
      <c r="B25" t="s">
        <v>62</v>
      </c>
      <c r="C25" t="s">
        <v>63</v>
      </c>
      <c r="D25" s="1" t="s">
        <v>695</v>
      </c>
      <c r="E25" t="s">
        <v>1215</v>
      </c>
      <c r="F25" t="s">
        <v>34</v>
      </c>
      <c r="G25" t="s">
        <v>12</v>
      </c>
      <c r="H25" t="s">
        <v>1735</v>
      </c>
      <c r="I25" t="s">
        <v>64</v>
      </c>
      <c r="J25" t="s">
        <v>2255</v>
      </c>
      <c r="K25" t="s">
        <v>5</v>
      </c>
      <c r="L25" s="1">
        <v>5</v>
      </c>
      <c r="M25" s="30">
        <v>1</v>
      </c>
      <c r="N25" s="11" t="s">
        <v>5</v>
      </c>
      <c r="O25" s="1">
        <v>76</v>
      </c>
      <c r="P25" s="1">
        <v>76</v>
      </c>
      <c r="R25" t="s">
        <v>40</v>
      </c>
    </row>
    <row r="26" spans="1:18" x14ac:dyDescent="0.25">
      <c r="A26" t="s">
        <v>176</v>
      </c>
      <c r="B26" t="s">
        <v>65</v>
      </c>
      <c r="C26" t="s">
        <v>37</v>
      </c>
      <c r="D26" s="1" t="s">
        <v>696</v>
      </c>
      <c r="E26" t="s">
        <v>1216</v>
      </c>
      <c r="F26" t="s">
        <v>38</v>
      </c>
      <c r="G26" t="s">
        <v>11</v>
      </c>
      <c r="H26" t="s">
        <v>1736</v>
      </c>
      <c r="I26" t="s">
        <v>66</v>
      </c>
      <c r="J26" t="s">
        <v>2256</v>
      </c>
      <c r="K26" t="s">
        <v>5</v>
      </c>
      <c r="L26" s="1">
        <v>7</v>
      </c>
      <c r="M26" s="30">
        <v>1</v>
      </c>
      <c r="N26" s="11" t="s">
        <v>5</v>
      </c>
      <c r="O26" s="1">
        <v>73</v>
      </c>
      <c r="P26" s="1">
        <v>73</v>
      </c>
      <c r="Q26" t="s">
        <v>44</v>
      </c>
      <c r="R26" t="s">
        <v>40</v>
      </c>
    </row>
    <row r="27" spans="1:18" x14ac:dyDescent="0.25">
      <c r="A27" t="s">
        <v>177</v>
      </c>
      <c r="B27" t="s">
        <v>67</v>
      </c>
      <c r="C27" t="s">
        <v>48</v>
      </c>
      <c r="D27" s="1" t="s">
        <v>697</v>
      </c>
      <c r="E27" t="s">
        <v>1217</v>
      </c>
      <c r="F27" t="s">
        <v>41</v>
      </c>
      <c r="G27" t="s">
        <v>12</v>
      </c>
      <c r="H27" t="s">
        <v>1737</v>
      </c>
      <c r="I27" t="s">
        <v>42</v>
      </c>
      <c r="J27" t="s">
        <v>2257</v>
      </c>
      <c r="K27" t="s">
        <v>5</v>
      </c>
      <c r="L27" s="1">
        <v>7</v>
      </c>
      <c r="M27" s="30">
        <v>1</v>
      </c>
      <c r="N27" s="11" t="s">
        <v>5</v>
      </c>
      <c r="O27" s="1">
        <v>78</v>
      </c>
      <c r="P27" s="1">
        <v>78</v>
      </c>
    </row>
    <row r="28" spans="1:18" x14ac:dyDescent="0.25">
      <c r="A28" t="s">
        <v>178</v>
      </c>
      <c r="B28" t="s">
        <v>45</v>
      </c>
      <c r="C28" t="s">
        <v>37</v>
      </c>
      <c r="D28" s="1" t="s">
        <v>698</v>
      </c>
      <c r="E28" t="s">
        <v>1218</v>
      </c>
      <c r="F28" t="s">
        <v>34</v>
      </c>
      <c r="G28" t="s">
        <v>12</v>
      </c>
      <c r="H28" t="s">
        <v>1738</v>
      </c>
      <c r="I28" t="s">
        <v>68</v>
      </c>
      <c r="J28" t="s">
        <v>2258</v>
      </c>
      <c r="K28" t="s">
        <v>5</v>
      </c>
      <c r="L28" s="1">
        <v>7</v>
      </c>
      <c r="M28" s="30">
        <v>1</v>
      </c>
      <c r="N28" s="11" t="s">
        <v>5</v>
      </c>
      <c r="O28" s="1">
        <v>68</v>
      </c>
      <c r="P28" s="1">
        <v>68</v>
      </c>
      <c r="R28" t="s">
        <v>40</v>
      </c>
    </row>
    <row r="29" spans="1:18" x14ac:dyDescent="0.25">
      <c r="A29" t="s">
        <v>179</v>
      </c>
      <c r="B29" t="s">
        <v>51</v>
      </c>
      <c r="C29" t="s">
        <v>37</v>
      </c>
      <c r="D29" s="1" t="s">
        <v>699</v>
      </c>
      <c r="E29" t="s">
        <v>1219</v>
      </c>
      <c r="F29" t="s">
        <v>69</v>
      </c>
      <c r="G29" t="s">
        <v>12</v>
      </c>
      <c r="H29" t="s">
        <v>1739</v>
      </c>
      <c r="I29" t="s">
        <v>35</v>
      </c>
      <c r="J29" t="s">
        <v>2259</v>
      </c>
      <c r="K29" t="s">
        <v>5</v>
      </c>
      <c r="L29" s="1">
        <v>9</v>
      </c>
      <c r="M29" s="30">
        <v>0.52325581395348841</v>
      </c>
      <c r="N29" s="11" t="s">
        <v>6</v>
      </c>
      <c r="O29" s="1">
        <v>86</v>
      </c>
      <c r="P29" s="1">
        <v>45</v>
      </c>
      <c r="R29" t="s">
        <v>40</v>
      </c>
    </row>
    <row r="30" spans="1:18" x14ac:dyDescent="0.25">
      <c r="A30" t="s">
        <v>180</v>
      </c>
      <c r="B30" t="s">
        <v>51</v>
      </c>
      <c r="C30" t="s">
        <v>37</v>
      </c>
      <c r="D30" s="1" t="s">
        <v>700</v>
      </c>
      <c r="E30" t="s">
        <v>1220</v>
      </c>
      <c r="F30" t="s">
        <v>43</v>
      </c>
      <c r="G30" t="s">
        <v>12</v>
      </c>
      <c r="H30" t="s">
        <v>1740</v>
      </c>
      <c r="I30" t="s">
        <v>52</v>
      </c>
      <c r="J30" t="s">
        <v>2260</v>
      </c>
      <c r="K30" t="s">
        <v>5</v>
      </c>
      <c r="L30" s="1">
        <v>7</v>
      </c>
      <c r="M30" s="30">
        <v>0.84482758620689657</v>
      </c>
      <c r="N30" s="11" t="s">
        <v>6</v>
      </c>
      <c r="O30" s="1">
        <v>58</v>
      </c>
      <c r="P30" s="1">
        <v>49</v>
      </c>
      <c r="R30" t="s">
        <v>40</v>
      </c>
    </row>
    <row r="31" spans="1:18" x14ac:dyDescent="0.25">
      <c r="A31" t="s">
        <v>181</v>
      </c>
      <c r="B31" t="s">
        <v>67</v>
      </c>
      <c r="C31" t="s">
        <v>48</v>
      </c>
      <c r="D31" s="1" t="s">
        <v>701</v>
      </c>
      <c r="E31" t="s">
        <v>1221</v>
      </c>
      <c r="F31" t="s">
        <v>70</v>
      </c>
      <c r="G31" t="s">
        <v>12</v>
      </c>
      <c r="H31" t="s">
        <v>1741</v>
      </c>
      <c r="I31" t="s">
        <v>52</v>
      </c>
      <c r="J31" t="s">
        <v>2261</v>
      </c>
      <c r="K31" t="s">
        <v>5</v>
      </c>
      <c r="L31" s="1">
        <v>9</v>
      </c>
      <c r="M31" s="30">
        <v>0.7416666666666667</v>
      </c>
      <c r="N31" s="11" t="s">
        <v>6</v>
      </c>
      <c r="O31" s="1">
        <v>120</v>
      </c>
      <c r="P31" s="1">
        <v>89</v>
      </c>
      <c r="R31" t="s">
        <v>40</v>
      </c>
    </row>
    <row r="32" spans="1:18" x14ac:dyDescent="0.25">
      <c r="A32" t="s">
        <v>182</v>
      </c>
      <c r="B32" t="s">
        <v>67</v>
      </c>
      <c r="C32" t="s">
        <v>48</v>
      </c>
      <c r="D32" s="1" t="s">
        <v>702</v>
      </c>
      <c r="E32" t="s">
        <v>1222</v>
      </c>
      <c r="F32" t="s">
        <v>34</v>
      </c>
      <c r="G32" t="s">
        <v>12</v>
      </c>
      <c r="H32" t="s">
        <v>1742</v>
      </c>
      <c r="I32" t="s">
        <v>64</v>
      </c>
      <c r="J32" t="s">
        <v>2262</v>
      </c>
      <c r="K32" t="s">
        <v>5</v>
      </c>
      <c r="L32" s="1">
        <v>9</v>
      </c>
      <c r="M32" s="30">
        <v>1</v>
      </c>
      <c r="N32" s="11" t="s">
        <v>5</v>
      </c>
      <c r="O32" s="1">
        <v>70</v>
      </c>
      <c r="P32" s="1">
        <v>70</v>
      </c>
      <c r="R32" t="s">
        <v>40</v>
      </c>
    </row>
    <row r="33" spans="1:18" x14ac:dyDescent="0.25">
      <c r="A33" t="s">
        <v>183</v>
      </c>
      <c r="B33" t="s">
        <v>56</v>
      </c>
      <c r="C33" t="s">
        <v>57</v>
      </c>
      <c r="D33" s="1" t="s">
        <v>703</v>
      </c>
      <c r="E33" t="s">
        <v>1223</v>
      </c>
      <c r="F33" t="s">
        <v>34</v>
      </c>
      <c r="G33" t="s">
        <v>12</v>
      </c>
      <c r="H33" t="s">
        <v>1743</v>
      </c>
      <c r="I33" t="s">
        <v>71</v>
      </c>
      <c r="J33" t="s">
        <v>2263</v>
      </c>
      <c r="K33" t="s">
        <v>5</v>
      </c>
      <c r="L33" s="1">
        <v>9</v>
      </c>
      <c r="M33" s="30">
        <v>0.87142857142857144</v>
      </c>
      <c r="N33" s="11" t="s">
        <v>6</v>
      </c>
      <c r="O33" s="1">
        <v>70</v>
      </c>
      <c r="P33" s="1">
        <v>61</v>
      </c>
      <c r="R33" t="s">
        <v>40</v>
      </c>
    </row>
    <row r="34" spans="1:18" x14ac:dyDescent="0.25">
      <c r="A34" t="s">
        <v>184</v>
      </c>
      <c r="B34" t="s">
        <v>51</v>
      </c>
      <c r="C34" t="s">
        <v>37</v>
      </c>
      <c r="D34" s="1" t="s">
        <v>704</v>
      </c>
      <c r="E34" t="s">
        <v>1224</v>
      </c>
      <c r="F34" t="s">
        <v>43</v>
      </c>
      <c r="G34" t="s">
        <v>12</v>
      </c>
      <c r="H34" t="s">
        <v>1744</v>
      </c>
      <c r="I34" t="s">
        <v>72</v>
      </c>
      <c r="J34" t="s">
        <v>2264</v>
      </c>
      <c r="K34" t="s">
        <v>5</v>
      </c>
      <c r="L34" s="1">
        <v>9</v>
      </c>
      <c r="M34" s="30">
        <v>0.72413793103448276</v>
      </c>
      <c r="N34" s="11" t="s">
        <v>6</v>
      </c>
      <c r="O34" s="1">
        <v>116</v>
      </c>
      <c r="P34" s="1">
        <v>84</v>
      </c>
      <c r="R34" t="s">
        <v>40</v>
      </c>
    </row>
    <row r="35" spans="1:18" x14ac:dyDescent="0.25">
      <c r="A35" t="s">
        <v>185</v>
      </c>
      <c r="B35" t="s">
        <v>32</v>
      </c>
      <c r="C35" t="s">
        <v>33</v>
      </c>
      <c r="D35" s="1" t="s">
        <v>705</v>
      </c>
      <c r="E35" t="s">
        <v>1225</v>
      </c>
      <c r="F35" t="s">
        <v>49</v>
      </c>
      <c r="G35" t="s">
        <v>12</v>
      </c>
      <c r="H35" t="s">
        <v>1745</v>
      </c>
      <c r="I35" t="s">
        <v>50</v>
      </c>
      <c r="J35" t="s">
        <v>2265</v>
      </c>
      <c r="K35" t="s">
        <v>5</v>
      </c>
      <c r="L35" s="1">
        <v>7</v>
      </c>
      <c r="M35" s="30">
        <v>1</v>
      </c>
      <c r="N35" s="11" t="s">
        <v>5</v>
      </c>
      <c r="O35" s="1">
        <v>66</v>
      </c>
      <c r="P35" s="1">
        <v>66</v>
      </c>
      <c r="R35" t="s">
        <v>40</v>
      </c>
    </row>
    <row r="36" spans="1:18" x14ac:dyDescent="0.25">
      <c r="A36" t="s">
        <v>186</v>
      </c>
      <c r="B36" t="s">
        <v>73</v>
      </c>
      <c r="C36" t="s">
        <v>74</v>
      </c>
      <c r="D36" s="1" t="s">
        <v>706</v>
      </c>
      <c r="E36" t="s">
        <v>1226</v>
      </c>
      <c r="F36" t="s">
        <v>43</v>
      </c>
      <c r="G36" t="s">
        <v>11</v>
      </c>
      <c r="H36" t="s">
        <v>1746</v>
      </c>
      <c r="I36" t="s">
        <v>46</v>
      </c>
      <c r="J36" t="s">
        <v>2266</v>
      </c>
      <c r="K36" t="s">
        <v>5</v>
      </c>
      <c r="L36" s="1">
        <v>5</v>
      </c>
      <c r="M36" s="30">
        <v>0.21739130434782608</v>
      </c>
      <c r="N36" s="11" t="s">
        <v>6</v>
      </c>
      <c r="O36" s="1">
        <v>46</v>
      </c>
      <c r="P36" s="1">
        <v>10</v>
      </c>
      <c r="R36" t="s">
        <v>40</v>
      </c>
    </row>
    <row r="37" spans="1:18" x14ac:dyDescent="0.25">
      <c r="A37" t="s">
        <v>187</v>
      </c>
      <c r="B37" t="s">
        <v>67</v>
      </c>
      <c r="C37" t="s">
        <v>48</v>
      </c>
      <c r="D37" s="1" t="s">
        <v>707</v>
      </c>
      <c r="E37" t="s">
        <v>1227</v>
      </c>
      <c r="F37" t="s">
        <v>34</v>
      </c>
      <c r="G37" t="s">
        <v>12</v>
      </c>
      <c r="H37" t="s">
        <v>1747</v>
      </c>
      <c r="I37" t="s">
        <v>64</v>
      </c>
      <c r="J37" t="s">
        <v>2267</v>
      </c>
      <c r="K37" t="s">
        <v>5</v>
      </c>
      <c r="L37" s="1">
        <v>7</v>
      </c>
      <c r="M37" s="30">
        <v>0.66129032258064513</v>
      </c>
      <c r="N37" s="11" t="s">
        <v>6</v>
      </c>
      <c r="O37" s="1">
        <v>62</v>
      </c>
      <c r="P37" s="1">
        <v>41</v>
      </c>
      <c r="R37" t="s">
        <v>40</v>
      </c>
    </row>
    <row r="38" spans="1:18" x14ac:dyDescent="0.25">
      <c r="A38" t="s">
        <v>188</v>
      </c>
      <c r="B38" t="s">
        <v>73</v>
      </c>
      <c r="C38" t="s">
        <v>74</v>
      </c>
      <c r="D38" s="1" t="s">
        <v>708</v>
      </c>
      <c r="E38" t="s">
        <v>1228</v>
      </c>
      <c r="F38" t="s">
        <v>75</v>
      </c>
      <c r="G38" t="s">
        <v>11</v>
      </c>
      <c r="H38" t="s">
        <v>1748</v>
      </c>
      <c r="I38" t="s">
        <v>76</v>
      </c>
      <c r="J38" t="s">
        <v>2268</v>
      </c>
      <c r="K38" t="s">
        <v>5</v>
      </c>
      <c r="L38" s="1">
        <v>5</v>
      </c>
      <c r="M38" s="30">
        <v>1</v>
      </c>
      <c r="N38" s="11" t="s">
        <v>5</v>
      </c>
      <c r="O38" s="1">
        <v>62</v>
      </c>
      <c r="P38" s="1">
        <v>62</v>
      </c>
    </row>
    <row r="39" spans="1:18" x14ac:dyDescent="0.25">
      <c r="A39" t="s">
        <v>189</v>
      </c>
      <c r="B39" t="s">
        <v>77</v>
      </c>
      <c r="C39" t="s">
        <v>57</v>
      </c>
      <c r="D39" s="1" t="s">
        <v>709</v>
      </c>
      <c r="E39" t="s">
        <v>1229</v>
      </c>
      <c r="F39" t="s">
        <v>75</v>
      </c>
      <c r="G39" t="s">
        <v>8</v>
      </c>
      <c r="H39" t="s">
        <v>1749</v>
      </c>
      <c r="I39" t="s">
        <v>61</v>
      </c>
      <c r="J39" t="s">
        <v>2269</v>
      </c>
      <c r="K39" t="s">
        <v>5</v>
      </c>
      <c r="L39" s="1">
        <v>5</v>
      </c>
      <c r="M39" s="30">
        <v>0.84782608695652173</v>
      </c>
      <c r="N39" s="11" t="s">
        <v>6</v>
      </c>
      <c r="O39" s="1">
        <v>46</v>
      </c>
      <c r="P39" s="1">
        <v>39</v>
      </c>
      <c r="R39" t="s">
        <v>40</v>
      </c>
    </row>
    <row r="40" spans="1:18" s="5" customFormat="1" x14ac:dyDescent="0.25">
      <c r="A40" t="s">
        <v>190</v>
      </c>
      <c r="B40" s="5" t="s">
        <v>78</v>
      </c>
      <c r="C40" s="5" t="s">
        <v>79</v>
      </c>
      <c r="D40" s="14" t="s">
        <v>710</v>
      </c>
      <c r="E40" s="5" t="s">
        <v>1230</v>
      </c>
      <c r="F40" s="5" t="s">
        <v>75</v>
      </c>
      <c r="G40" s="5" t="s">
        <v>12</v>
      </c>
      <c r="H40" t="s">
        <v>1750</v>
      </c>
      <c r="I40" s="15" t="s">
        <v>80</v>
      </c>
      <c r="J40" s="5" t="s">
        <v>2270</v>
      </c>
      <c r="K40" t="s">
        <v>5</v>
      </c>
      <c r="L40" s="1">
        <v>7</v>
      </c>
      <c r="M40" s="30">
        <v>1</v>
      </c>
      <c r="N40" s="11" t="s">
        <v>5</v>
      </c>
      <c r="O40" s="1">
        <v>98</v>
      </c>
      <c r="P40" s="1">
        <v>98</v>
      </c>
      <c r="Q40"/>
      <c r="R40"/>
    </row>
    <row r="41" spans="1:18" x14ac:dyDescent="0.25">
      <c r="A41" t="s">
        <v>191</v>
      </c>
      <c r="B41" t="s">
        <v>47</v>
      </c>
      <c r="C41" t="s">
        <v>48</v>
      </c>
      <c r="D41" s="1" t="s">
        <v>711</v>
      </c>
      <c r="E41" t="s">
        <v>1231</v>
      </c>
      <c r="F41" t="s">
        <v>43</v>
      </c>
      <c r="G41" t="s">
        <v>12</v>
      </c>
      <c r="H41" t="s">
        <v>1751</v>
      </c>
      <c r="I41" t="s">
        <v>35</v>
      </c>
      <c r="J41" t="s">
        <v>2271</v>
      </c>
      <c r="K41" t="s">
        <v>5</v>
      </c>
      <c r="L41" s="1">
        <v>9</v>
      </c>
      <c r="M41" s="30">
        <v>0.86792452830188682</v>
      </c>
      <c r="N41" s="11" t="s">
        <v>6</v>
      </c>
      <c r="O41" s="1">
        <v>106</v>
      </c>
      <c r="P41" s="1">
        <v>92</v>
      </c>
      <c r="R41" t="s">
        <v>40</v>
      </c>
    </row>
    <row r="42" spans="1:18" x14ac:dyDescent="0.25">
      <c r="A42" t="s">
        <v>192</v>
      </c>
      <c r="B42" t="s">
        <v>62</v>
      </c>
      <c r="C42" t="s">
        <v>63</v>
      </c>
      <c r="D42" s="1" t="s">
        <v>712</v>
      </c>
      <c r="E42" t="s">
        <v>1232</v>
      </c>
      <c r="F42" t="s">
        <v>75</v>
      </c>
      <c r="G42" t="s">
        <v>12</v>
      </c>
      <c r="H42" t="s">
        <v>1752</v>
      </c>
      <c r="I42" t="s">
        <v>42</v>
      </c>
      <c r="J42" t="s">
        <v>2272</v>
      </c>
      <c r="K42" t="s">
        <v>5</v>
      </c>
      <c r="L42" s="1">
        <v>7</v>
      </c>
      <c r="M42" s="30">
        <v>1</v>
      </c>
      <c r="N42" s="11" t="s">
        <v>5</v>
      </c>
      <c r="O42" s="1">
        <v>98</v>
      </c>
      <c r="P42" s="1">
        <v>98</v>
      </c>
    </row>
    <row r="43" spans="1:18" x14ac:dyDescent="0.25">
      <c r="A43" t="s">
        <v>193</v>
      </c>
      <c r="B43" t="s">
        <v>51</v>
      </c>
      <c r="C43" t="s">
        <v>37</v>
      </c>
      <c r="D43" s="1" t="s">
        <v>713</v>
      </c>
      <c r="E43" t="s">
        <v>1233</v>
      </c>
      <c r="F43" t="s">
        <v>75</v>
      </c>
      <c r="G43" t="s">
        <v>12</v>
      </c>
      <c r="H43" t="s">
        <v>1753</v>
      </c>
      <c r="I43" t="s">
        <v>50</v>
      </c>
      <c r="J43" t="s">
        <v>2273</v>
      </c>
      <c r="K43" t="s">
        <v>5</v>
      </c>
      <c r="L43" s="1">
        <v>7</v>
      </c>
      <c r="M43" s="30">
        <v>1</v>
      </c>
      <c r="N43" s="11" t="s">
        <v>5</v>
      </c>
      <c r="O43" s="1">
        <v>106</v>
      </c>
      <c r="P43" s="1">
        <v>106</v>
      </c>
      <c r="R43" t="s">
        <v>40</v>
      </c>
    </row>
    <row r="44" spans="1:18" x14ac:dyDescent="0.25">
      <c r="A44" t="s">
        <v>194</v>
      </c>
      <c r="B44" t="s">
        <v>62</v>
      </c>
      <c r="C44" t="s">
        <v>63</v>
      </c>
      <c r="D44" s="1" t="s">
        <v>714</v>
      </c>
      <c r="E44" t="s">
        <v>1234</v>
      </c>
      <c r="F44" t="s">
        <v>43</v>
      </c>
      <c r="G44" t="s">
        <v>12</v>
      </c>
      <c r="H44" t="s">
        <v>1754</v>
      </c>
      <c r="I44" t="s">
        <v>55</v>
      </c>
      <c r="J44" t="s">
        <v>2274</v>
      </c>
      <c r="K44" t="s">
        <v>5</v>
      </c>
      <c r="L44" s="1">
        <v>7</v>
      </c>
      <c r="M44" s="30">
        <v>1</v>
      </c>
      <c r="N44" s="11" t="s">
        <v>5</v>
      </c>
      <c r="O44" s="1">
        <v>82</v>
      </c>
      <c r="P44" s="1">
        <v>82</v>
      </c>
      <c r="R44" t="s">
        <v>40</v>
      </c>
    </row>
    <row r="45" spans="1:18" x14ac:dyDescent="0.25">
      <c r="A45" t="s">
        <v>195</v>
      </c>
      <c r="B45" t="s">
        <v>78</v>
      </c>
      <c r="C45" t="s">
        <v>79</v>
      </c>
      <c r="D45" s="1" t="s">
        <v>715</v>
      </c>
      <c r="E45" t="s">
        <v>1235</v>
      </c>
      <c r="F45" t="s">
        <v>34</v>
      </c>
      <c r="G45" t="s">
        <v>11</v>
      </c>
      <c r="H45" t="s">
        <v>1755</v>
      </c>
      <c r="I45" t="s">
        <v>81</v>
      </c>
      <c r="J45" t="s">
        <v>2275</v>
      </c>
      <c r="K45" t="s">
        <v>5</v>
      </c>
      <c r="L45" s="1">
        <v>6</v>
      </c>
      <c r="M45" s="30">
        <v>1</v>
      </c>
      <c r="N45" s="11" t="s">
        <v>5</v>
      </c>
      <c r="O45" s="1">
        <v>65</v>
      </c>
      <c r="P45" s="1">
        <v>65</v>
      </c>
      <c r="R45" t="s">
        <v>40</v>
      </c>
    </row>
    <row r="46" spans="1:18" x14ac:dyDescent="0.25">
      <c r="A46" t="s">
        <v>196</v>
      </c>
      <c r="B46" t="s">
        <v>60</v>
      </c>
      <c r="C46" t="s">
        <v>37</v>
      </c>
      <c r="D46" s="1" t="s">
        <v>716</v>
      </c>
      <c r="E46" t="s">
        <v>1236</v>
      </c>
      <c r="F46" t="s">
        <v>34</v>
      </c>
      <c r="G46" t="s">
        <v>8</v>
      </c>
      <c r="H46" t="s">
        <v>1756</v>
      </c>
      <c r="I46" t="s">
        <v>61</v>
      </c>
      <c r="J46" t="s">
        <v>2276</v>
      </c>
      <c r="K46" t="s">
        <v>5</v>
      </c>
      <c r="L46" s="1">
        <v>9</v>
      </c>
      <c r="M46" s="30">
        <v>1</v>
      </c>
      <c r="N46" s="11" t="s">
        <v>5</v>
      </c>
      <c r="O46" s="1">
        <v>80</v>
      </c>
      <c r="P46" s="1">
        <v>80</v>
      </c>
      <c r="R46" t="s">
        <v>40</v>
      </c>
    </row>
    <row r="47" spans="1:18" x14ac:dyDescent="0.25">
      <c r="A47" t="s">
        <v>197</v>
      </c>
      <c r="B47" t="s">
        <v>53</v>
      </c>
      <c r="C47" t="s">
        <v>48</v>
      </c>
      <c r="D47" s="1" t="s">
        <v>717</v>
      </c>
      <c r="E47" t="s">
        <v>1237</v>
      </c>
      <c r="F47" t="s">
        <v>34</v>
      </c>
      <c r="G47" t="s">
        <v>12</v>
      </c>
      <c r="H47" t="s">
        <v>1757</v>
      </c>
      <c r="I47" t="s">
        <v>64</v>
      </c>
      <c r="J47" t="s">
        <v>2277</v>
      </c>
      <c r="K47" t="s">
        <v>5</v>
      </c>
      <c r="L47" s="1">
        <v>9</v>
      </c>
      <c r="M47" s="30">
        <v>0.7</v>
      </c>
      <c r="N47" s="11" t="s">
        <v>6</v>
      </c>
      <c r="O47" s="1">
        <v>80</v>
      </c>
      <c r="P47" s="1">
        <v>56</v>
      </c>
      <c r="R47" t="s">
        <v>40</v>
      </c>
    </row>
    <row r="48" spans="1:18" x14ac:dyDescent="0.25">
      <c r="A48" t="s">
        <v>198</v>
      </c>
      <c r="B48" t="s">
        <v>51</v>
      </c>
      <c r="C48" t="s">
        <v>37</v>
      </c>
      <c r="D48" s="1" t="s">
        <v>718</v>
      </c>
      <c r="E48" t="s">
        <v>1238</v>
      </c>
      <c r="F48" t="s">
        <v>34</v>
      </c>
      <c r="G48" t="s">
        <v>12</v>
      </c>
      <c r="H48" t="s">
        <v>1758</v>
      </c>
      <c r="I48" t="s">
        <v>72</v>
      </c>
      <c r="J48" t="s">
        <v>2278</v>
      </c>
      <c r="K48" t="s">
        <v>5</v>
      </c>
      <c r="L48" s="1">
        <v>7</v>
      </c>
      <c r="M48" s="31">
        <v>1</v>
      </c>
      <c r="N48" s="11" t="s">
        <v>5</v>
      </c>
      <c r="O48" s="1">
        <v>81</v>
      </c>
      <c r="P48" s="1">
        <v>81</v>
      </c>
      <c r="Q48" t="s">
        <v>44</v>
      </c>
      <c r="R48" t="s">
        <v>40</v>
      </c>
    </row>
    <row r="49" spans="1:18" x14ac:dyDescent="0.25">
      <c r="A49" t="s">
        <v>199</v>
      </c>
      <c r="B49" t="s">
        <v>67</v>
      </c>
      <c r="C49" t="s">
        <v>48</v>
      </c>
      <c r="D49" s="1" t="s">
        <v>719</v>
      </c>
      <c r="E49" t="s">
        <v>1239</v>
      </c>
      <c r="F49" t="s">
        <v>82</v>
      </c>
      <c r="G49" t="s">
        <v>12</v>
      </c>
      <c r="H49" t="s">
        <v>1759</v>
      </c>
      <c r="I49" t="s">
        <v>35</v>
      </c>
      <c r="J49" t="s">
        <v>2279</v>
      </c>
      <c r="K49" t="s">
        <v>5</v>
      </c>
      <c r="L49" s="22">
        <v>18</v>
      </c>
      <c r="M49" s="31">
        <v>1</v>
      </c>
      <c r="N49" s="11" t="s">
        <v>5</v>
      </c>
      <c r="O49" s="22">
        <v>106</v>
      </c>
      <c r="P49" s="1">
        <v>106</v>
      </c>
      <c r="R49" t="s">
        <v>40</v>
      </c>
    </row>
    <row r="50" spans="1:18" x14ac:dyDescent="0.25">
      <c r="A50" t="s">
        <v>200</v>
      </c>
      <c r="B50" t="s">
        <v>83</v>
      </c>
      <c r="C50" t="s">
        <v>57</v>
      </c>
      <c r="D50" s="1" t="s">
        <v>720</v>
      </c>
      <c r="E50" t="s">
        <v>1240</v>
      </c>
      <c r="F50" t="s">
        <v>34</v>
      </c>
      <c r="G50" t="s">
        <v>11</v>
      </c>
      <c r="H50" t="s">
        <v>1760</v>
      </c>
      <c r="I50" t="s">
        <v>46</v>
      </c>
      <c r="J50" t="s">
        <v>2280</v>
      </c>
      <c r="K50" t="s">
        <v>5</v>
      </c>
      <c r="L50" s="22">
        <v>5</v>
      </c>
      <c r="M50" s="30">
        <v>0.27777777777777779</v>
      </c>
      <c r="N50" s="11" t="s">
        <v>6</v>
      </c>
      <c r="O50" s="22">
        <v>72</v>
      </c>
      <c r="P50" s="1">
        <v>20</v>
      </c>
      <c r="R50" t="s">
        <v>40</v>
      </c>
    </row>
    <row r="51" spans="1:18" x14ac:dyDescent="0.25">
      <c r="A51" t="s">
        <v>201</v>
      </c>
      <c r="B51" t="s">
        <v>84</v>
      </c>
      <c r="C51" t="s">
        <v>85</v>
      </c>
      <c r="D51" s="1" t="s">
        <v>721</v>
      </c>
      <c r="E51" t="s">
        <v>1241</v>
      </c>
      <c r="F51" t="s">
        <v>34</v>
      </c>
      <c r="G51" t="s">
        <v>9</v>
      </c>
      <c r="H51" t="s">
        <v>1761</v>
      </c>
      <c r="I51" t="s">
        <v>86</v>
      </c>
      <c r="J51" t="s">
        <v>2281</v>
      </c>
      <c r="K51" t="s">
        <v>5</v>
      </c>
      <c r="L51" s="22">
        <v>5</v>
      </c>
      <c r="M51" s="30">
        <v>1</v>
      </c>
      <c r="N51" s="11" t="s">
        <v>5</v>
      </c>
      <c r="O51" s="1">
        <v>72</v>
      </c>
      <c r="P51" s="1">
        <v>72</v>
      </c>
    </row>
    <row r="52" spans="1:18" x14ac:dyDescent="0.25">
      <c r="A52" t="s">
        <v>202</v>
      </c>
      <c r="B52" t="s">
        <v>51</v>
      </c>
      <c r="C52" t="s">
        <v>37</v>
      </c>
      <c r="D52" s="1" t="s">
        <v>722</v>
      </c>
      <c r="E52" t="s">
        <v>1242</v>
      </c>
      <c r="F52" t="s">
        <v>87</v>
      </c>
      <c r="G52" t="s">
        <v>12</v>
      </c>
      <c r="H52" t="s">
        <v>1762</v>
      </c>
      <c r="I52" t="s">
        <v>42</v>
      </c>
      <c r="J52" t="s">
        <v>2282</v>
      </c>
      <c r="K52" t="s">
        <v>5</v>
      </c>
      <c r="L52" s="22">
        <v>7</v>
      </c>
      <c r="M52" s="31">
        <v>1</v>
      </c>
      <c r="N52" s="11" t="s">
        <v>5</v>
      </c>
      <c r="O52" s="22">
        <v>78</v>
      </c>
      <c r="P52" s="1">
        <v>78</v>
      </c>
      <c r="R52" t="s">
        <v>40</v>
      </c>
    </row>
    <row r="53" spans="1:18" x14ac:dyDescent="0.25">
      <c r="A53" t="s">
        <v>203</v>
      </c>
      <c r="B53" t="s">
        <v>88</v>
      </c>
      <c r="C53" t="s">
        <v>48</v>
      </c>
      <c r="D53" s="1" t="s">
        <v>723</v>
      </c>
      <c r="E53" t="s">
        <v>1243</v>
      </c>
      <c r="F53" t="s">
        <v>89</v>
      </c>
      <c r="G53" t="s">
        <v>12</v>
      </c>
      <c r="H53" t="s">
        <v>1763</v>
      </c>
      <c r="I53" t="s">
        <v>35</v>
      </c>
      <c r="J53" t="s">
        <v>2283</v>
      </c>
      <c r="K53" t="s">
        <v>5</v>
      </c>
      <c r="L53" s="22">
        <v>7</v>
      </c>
      <c r="M53" s="30">
        <v>0.765625</v>
      </c>
      <c r="N53" s="11" t="s">
        <v>6</v>
      </c>
      <c r="O53" s="1">
        <v>64</v>
      </c>
      <c r="P53" s="1">
        <v>49</v>
      </c>
    </row>
    <row r="54" spans="1:18" x14ac:dyDescent="0.25">
      <c r="A54" t="s">
        <v>204</v>
      </c>
      <c r="B54" t="s">
        <v>62</v>
      </c>
      <c r="C54" t="s">
        <v>63</v>
      </c>
      <c r="D54" s="1" t="s">
        <v>724</v>
      </c>
      <c r="E54" t="s">
        <v>1244</v>
      </c>
      <c r="F54" t="s">
        <v>43</v>
      </c>
      <c r="G54" t="s">
        <v>12</v>
      </c>
      <c r="H54" t="s">
        <v>1764</v>
      </c>
      <c r="I54" t="s">
        <v>42</v>
      </c>
      <c r="J54" t="s">
        <v>2284</v>
      </c>
      <c r="K54" t="s">
        <v>5</v>
      </c>
      <c r="L54" s="22">
        <v>7</v>
      </c>
      <c r="M54" s="31">
        <v>1</v>
      </c>
      <c r="N54" s="11" t="s">
        <v>5</v>
      </c>
      <c r="O54" s="1">
        <v>75</v>
      </c>
      <c r="P54" s="1">
        <v>75</v>
      </c>
      <c r="R54" t="s">
        <v>40</v>
      </c>
    </row>
    <row r="55" spans="1:18" x14ac:dyDescent="0.25">
      <c r="A55" t="s">
        <v>205</v>
      </c>
      <c r="B55" t="s">
        <v>51</v>
      </c>
      <c r="C55" t="s">
        <v>37</v>
      </c>
      <c r="D55" s="1" t="s">
        <v>725</v>
      </c>
      <c r="E55" t="s">
        <v>1245</v>
      </c>
      <c r="F55" t="s">
        <v>34</v>
      </c>
      <c r="G55" t="s">
        <v>12</v>
      </c>
      <c r="H55" t="s">
        <v>1765</v>
      </c>
      <c r="I55" t="s">
        <v>64</v>
      </c>
      <c r="J55" t="s">
        <v>2285</v>
      </c>
      <c r="K55" t="s">
        <v>5</v>
      </c>
      <c r="L55" s="22">
        <v>9</v>
      </c>
      <c r="M55" s="31">
        <v>1</v>
      </c>
      <c r="N55" s="11" t="s">
        <v>5</v>
      </c>
      <c r="O55" s="1">
        <v>78</v>
      </c>
      <c r="P55" s="1">
        <v>78</v>
      </c>
      <c r="Q55" t="s">
        <v>44</v>
      </c>
      <c r="R55" t="s">
        <v>40</v>
      </c>
    </row>
    <row r="56" spans="1:18" x14ac:dyDescent="0.25">
      <c r="A56" t="s">
        <v>206</v>
      </c>
      <c r="B56" t="s">
        <v>90</v>
      </c>
      <c r="C56" t="s">
        <v>91</v>
      </c>
      <c r="D56" s="1" t="s">
        <v>726</v>
      </c>
      <c r="E56" t="s">
        <v>1246</v>
      </c>
      <c r="F56" t="s">
        <v>43</v>
      </c>
      <c r="G56" t="s">
        <v>8</v>
      </c>
      <c r="H56" t="s">
        <v>1766</v>
      </c>
      <c r="I56" t="s">
        <v>92</v>
      </c>
      <c r="J56" t="s">
        <v>2286</v>
      </c>
      <c r="K56" t="s">
        <v>5</v>
      </c>
      <c r="L56" s="22">
        <v>7</v>
      </c>
      <c r="M56" s="30">
        <v>1</v>
      </c>
      <c r="N56" s="11" t="s">
        <v>5</v>
      </c>
      <c r="O56" s="1">
        <v>74</v>
      </c>
      <c r="P56" s="1">
        <v>74</v>
      </c>
      <c r="R56" t="s">
        <v>40</v>
      </c>
    </row>
    <row r="57" spans="1:18" x14ac:dyDescent="0.25">
      <c r="A57" t="s">
        <v>207</v>
      </c>
      <c r="B57" t="s">
        <v>93</v>
      </c>
      <c r="C57" t="s">
        <v>85</v>
      </c>
      <c r="D57" s="1" t="s">
        <v>727</v>
      </c>
      <c r="E57" t="s">
        <v>1247</v>
      </c>
      <c r="F57" t="s">
        <v>75</v>
      </c>
      <c r="G57" t="s">
        <v>8</v>
      </c>
      <c r="H57" t="s">
        <v>1767</v>
      </c>
      <c r="I57" t="s">
        <v>92</v>
      </c>
      <c r="J57" t="s">
        <v>2287</v>
      </c>
      <c r="K57" t="s">
        <v>5</v>
      </c>
      <c r="L57" s="22">
        <v>7</v>
      </c>
      <c r="M57" s="30">
        <v>1</v>
      </c>
      <c r="N57" s="11" t="s">
        <v>5</v>
      </c>
      <c r="O57" s="1">
        <v>78</v>
      </c>
      <c r="P57" s="1">
        <v>78</v>
      </c>
      <c r="R57" t="s">
        <v>40</v>
      </c>
    </row>
    <row r="58" spans="1:18" x14ac:dyDescent="0.25">
      <c r="A58" t="s">
        <v>208</v>
      </c>
      <c r="B58" t="s">
        <v>32</v>
      </c>
      <c r="C58" t="s">
        <v>33</v>
      </c>
      <c r="D58" s="1" t="s">
        <v>728</v>
      </c>
      <c r="E58" t="s">
        <v>1248</v>
      </c>
      <c r="F58" t="s">
        <v>34</v>
      </c>
      <c r="G58" t="s">
        <v>12</v>
      </c>
      <c r="H58" t="s">
        <v>1768</v>
      </c>
      <c r="I58" t="s">
        <v>35</v>
      </c>
      <c r="J58" t="s">
        <v>2288</v>
      </c>
      <c r="K58" t="s">
        <v>5</v>
      </c>
      <c r="L58" s="22">
        <v>7</v>
      </c>
      <c r="M58" s="30">
        <v>1</v>
      </c>
      <c r="N58" s="11" t="s">
        <v>5</v>
      </c>
      <c r="O58" s="1">
        <v>82</v>
      </c>
      <c r="P58" s="1">
        <v>82</v>
      </c>
    </row>
    <row r="59" spans="1:18" x14ac:dyDescent="0.25">
      <c r="A59" t="s">
        <v>209</v>
      </c>
      <c r="B59" t="s">
        <v>32</v>
      </c>
      <c r="C59" t="s">
        <v>33</v>
      </c>
      <c r="D59" s="1" t="s">
        <v>729</v>
      </c>
      <c r="E59" t="s">
        <v>1249</v>
      </c>
      <c r="F59" t="s">
        <v>34</v>
      </c>
      <c r="G59" t="s">
        <v>12</v>
      </c>
      <c r="H59" t="s">
        <v>1769</v>
      </c>
      <c r="I59" t="s">
        <v>35</v>
      </c>
      <c r="J59" t="s">
        <v>2289</v>
      </c>
      <c r="K59" t="s">
        <v>5</v>
      </c>
      <c r="L59" s="22">
        <v>5</v>
      </c>
      <c r="M59" s="30">
        <v>1</v>
      </c>
      <c r="N59" s="11" t="s">
        <v>5</v>
      </c>
      <c r="O59" s="1">
        <v>76</v>
      </c>
      <c r="P59" s="1">
        <v>76</v>
      </c>
    </row>
    <row r="60" spans="1:18" x14ac:dyDescent="0.25">
      <c r="A60" t="s">
        <v>210</v>
      </c>
      <c r="B60" t="s">
        <v>53</v>
      </c>
      <c r="C60" t="s">
        <v>48</v>
      </c>
      <c r="D60" s="1" t="s">
        <v>730</v>
      </c>
      <c r="E60" t="s">
        <v>1250</v>
      </c>
      <c r="F60" t="s">
        <v>75</v>
      </c>
      <c r="G60" t="s">
        <v>12</v>
      </c>
      <c r="H60" t="s">
        <v>1770</v>
      </c>
      <c r="I60" t="s">
        <v>54</v>
      </c>
      <c r="J60" t="s">
        <v>2290</v>
      </c>
      <c r="K60" t="s">
        <v>5</v>
      </c>
      <c r="L60" s="22">
        <v>9</v>
      </c>
      <c r="M60" s="30">
        <v>1</v>
      </c>
      <c r="N60" s="11" t="s">
        <v>5</v>
      </c>
      <c r="O60" s="1">
        <v>84</v>
      </c>
      <c r="P60" s="1">
        <v>84</v>
      </c>
    </row>
    <row r="61" spans="1:18" x14ac:dyDescent="0.25">
      <c r="A61" t="s">
        <v>211</v>
      </c>
      <c r="B61" t="s">
        <v>47</v>
      </c>
      <c r="C61" t="s">
        <v>48</v>
      </c>
      <c r="D61" s="1" t="s">
        <v>731</v>
      </c>
      <c r="E61" t="s">
        <v>1251</v>
      </c>
      <c r="F61" t="s">
        <v>43</v>
      </c>
      <c r="G61" t="s">
        <v>12</v>
      </c>
      <c r="H61" t="s">
        <v>1771</v>
      </c>
      <c r="I61" t="s">
        <v>55</v>
      </c>
      <c r="J61" t="s">
        <v>2291</v>
      </c>
      <c r="K61" t="s">
        <v>5</v>
      </c>
      <c r="L61" s="22">
        <v>7</v>
      </c>
      <c r="M61" s="30">
        <v>1</v>
      </c>
      <c r="N61" s="11" t="s">
        <v>5</v>
      </c>
      <c r="O61" s="1">
        <v>64</v>
      </c>
      <c r="P61" s="1">
        <v>64</v>
      </c>
      <c r="R61" t="s">
        <v>40</v>
      </c>
    </row>
    <row r="62" spans="1:18" x14ac:dyDescent="0.25">
      <c r="A62" t="s">
        <v>212</v>
      </c>
      <c r="B62" t="s">
        <v>53</v>
      </c>
      <c r="C62" t="s">
        <v>48</v>
      </c>
      <c r="D62" s="1" t="s">
        <v>732</v>
      </c>
      <c r="E62" t="s">
        <v>1252</v>
      </c>
      <c r="F62" t="s">
        <v>94</v>
      </c>
      <c r="G62" t="s">
        <v>12</v>
      </c>
      <c r="H62" t="s">
        <v>1772</v>
      </c>
      <c r="I62" t="s">
        <v>42</v>
      </c>
      <c r="J62" t="s">
        <v>2292</v>
      </c>
      <c r="K62" t="s">
        <v>5</v>
      </c>
      <c r="L62" s="22">
        <v>36</v>
      </c>
      <c r="M62" s="30">
        <v>0.82558139534883723</v>
      </c>
      <c r="N62" s="11" t="s">
        <v>6</v>
      </c>
      <c r="O62" s="1">
        <v>86</v>
      </c>
      <c r="P62" s="1">
        <v>71</v>
      </c>
      <c r="R62" t="s">
        <v>40</v>
      </c>
    </row>
    <row r="63" spans="1:18" x14ac:dyDescent="0.25">
      <c r="A63" t="s">
        <v>213</v>
      </c>
      <c r="B63" t="s">
        <v>51</v>
      </c>
      <c r="C63" t="s">
        <v>37</v>
      </c>
      <c r="D63" s="1" t="s">
        <v>733</v>
      </c>
      <c r="E63" t="s">
        <v>1253</v>
      </c>
      <c r="F63" t="s">
        <v>70</v>
      </c>
      <c r="G63" t="s">
        <v>12</v>
      </c>
      <c r="H63" t="s">
        <v>1773</v>
      </c>
      <c r="I63" t="s">
        <v>95</v>
      </c>
      <c r="J63" t="s">
        <v>2293</v>
      </c>
      <c r="K63" t="s">
        <v>5</v>
      </c>
      <c r="L63" s="22">
        <v>9</v>
      </c>
      <c r="M63" s="30">
        <v>1</v>
      </c>
      <c r="N63" s="11" t="s">
        <v>5</v>
      </c>
      <c r="O63" s="1">
        <v>106</v>
      </c>
      <c r="P63" s="1">
        <v>106</v>
      </c>
    </row>
    <row r="64" spans="1:18" x14ac:dyDescent="0.25">
      <c r="A64" t="s">
        <v>214</v>
      </c>
      <c r="B64" t="s">
        <v>51</v>
      </c>
      <c r="C64" t="s">
        <v>37</v>
      </c>
      <c r="D64" s="1" t="s">
        <v>734</v>
      </c>
      <c r="E64" t="s">
        <v>1254</v>
      </c>
      <c r="F64" t="s">
        <v>49</v>
      </c>
      <c r="G64" t="s">
        <v>12</v>
      </c>
      <c r="H64" t="s">
        <v>1774</v>
      </c>
      <c r="I64" t="s">
        <v>42</v>
      </c>
      <c r="J64" t="s">
        <v>2294</v>
      </c>
      <c r="K64" t="s">
        <v>5</v>
      </c>
      <c r="L64" s="22">
        <v>9</v>
      </c>
      <c r="M64" s="30">
        <v>0.32692307692307693</v>
      </c>
      <c r="N64" s="11" t="s">
        <v>6</v>
      </c>
      <c r="O64" s="1">
        <v>104</v>
      </c>
      <c r="P64" s="1">
        <v>34</v>
      </c>
      <c r="R64" t="s">
        <v>40</v>
      </c>
    </row>
    <row r="65" spans="1:18" x14ac:dyDescent="0.25">
      <c r="A65" t="s">
        <v>215</v>
      </c>
      <c r="B65" t="s">
        <v>47</v>
      </c>
      <c r="C65" t="s">
        <v>48</v>
      </c>
      <c r="D65" s="1" t="s">
        <v>735</v>
      </c>
      <c r="E65" t="s">
        <v>1255</v>
      </c>
      <c r="F65" t="s">
        <v>43</v>
      </c>
      <c r="G65" t="s">
        <v>12</v>
      </c>
      <c r="H65" t="s">
        <v>1775</v>
      </c>
      <c r="I65" t="s">
        <v>42</v>
      </c>
      <c r="J65" t="s">
        <v>2295</v>
      </c>
      <c r="K65" t="s">
        <v>5</v>
      </c>
      <c r="L65" s="22">
        <v>9</v>
      </c>
      <c r="M65" s="30">
        <v>1</v>
      </c>
      <c r="N65" s="11" t="s">
        <v>5</v>
      </c>
      <c r="O65" s="1">
        <v>106</v>
      </c>
      <c r="P65" s="1">
        <v>106</v>
      </c>
      <c r="R65" t="s">
        <v>40</v>
      </c>
    </row>
    <row r="66" spans="1:18" x14ac:dyDescent="0.25">
      <c r="A66" t="s">
        <v>216</v>
      </c>
      <c r="B66" t="s">
        <v>60</v>
      </c>
      <c r="C66" t="s">
        <v>37</v>
      </c>
      <c r="D66" s="1" t="s">
        <v>736</v>
      </c>
      <c r="E66" t="s">
        <v>1256</v>
      </c>
      <c r="F66" t="s">
        <v>34</v>
      </c>
      <c r="G66" t="s">
        <v>8</v>
      </c>
      <c r="H66" t="s">
        <v>1776</v>
      </c>
      <c r="I66" t="s">
        <v>61</v>
      </c>
      <c r="J66" t="s">
        <v>2296</v>
      </c>
      <c r="K66" t="s">
        <v>5</v>
      </c>
      <c r="L66" s="22">
        <v>7</v>
      </c>
      <c r="M66" s="31">
        <v>1</v>
      </c>
      <c r="N66" s="11" t="s">
        <v>5</v>
      </c>
      <c r="O66" s="22">
        <v>70</v>
      </c>
      <c r="P66" s="1">
        <v>70</v>
      </c>
      <c r="R66" t="s">
        <v>40</v>
      </c>
    </row>
    <row r="67" spans="1:18" x14ac:dyDescent="0.25">
      <c r="A67" t="s">
        <v>217</v>
      </c>
      <c r="B67" t="s">
        <v>51</v>
      </c>
      <c r="C67" t="s">
        <v>37</v>
      </c>
      <c r="D67" s="1" t="s">
        <v>737</v>
      </c>
      <c r="E67" t="s">
        <v>1257</v>
      </c>
      <c r="F67" t="s">
        <v>75</v>
      </c>
      <c r="G67" t="s">
        <v>12</v>
      </c>
      <c r="H67" t="s">
        <v>1777</v>
      </c>
      <c r="I67" t="s">
        <v>50</v>
      </c>
      <c r="J67" t="s">
        <v>2297</v>
      </c>
      <c r="K67" t="s">
        <v>5</v>
      </c>
      <c r="L67" s="22">
        <v>9</v>
      </c>
      <c r="M67" s="30">
        <v>1</v>
      </c>
      <c r="N67" s="11" t="s">
        <v>5</v>
      </c>
      <c r="O67" s="1">
        <v>70</v>
      </c>
      <c r="P67" s="1">
        <v>70</v>
      </c>
    </row>
    <row r="68" spans="1:18" x14ac:dyDescent="0.25">
      <c r="A68" t="s">
        <v>218</v>
      </c>
      <c r="B68" t="s">
        <v>88</v>
      </c>
      <c r="C68" t="s">
        <v>48</v>
      </c>
      <c r="D68" s="1" t="s">
        <v>738</v>
      </c>
      <c r="E68" t="s">
        <v>1258</v>
      </c>
      <c r="F68" t="s">
        <v>89</v>
      </c>
      <c r="G68" t="s">
        <v>12</v>
      </c>
      <c r="H68" t="s">
        <v>1778</v>
      </c>
      <c r="I68" t="s">
        <v>35</v>
      </c>
      <c r="J68" t="s">
        <v>2298</v>
      </c>
      <c r="K68" t="s">
        <v>5</v>
      </c>
      <c r="L68" s="22">
        <v>9</v>
      </c>
      <c r="M68" s="30">
        <v>1</v>
      </c>
      <c r="N68" s="11" t="s">
        <v>5</v>
      </c>
      <c r="O68" s="1">
        <v>84</v>
      </c>
      <c r="P68" s="1">
        <v>84</v>
      </c>
    </row>
    <row r="69" spans="1:18" x14ac:dyDescent="0.25">
      <c r="A69" t="s">
        <v>219</v>
      </c>
      <c r="B69" t="s">
        <v>88</v>
      </c>
      <c r="C69" t="s">
        <v>48</v>
      </c>
      <c r="D69" s="1" t="s">
        <v>739</v>
      </c>
      <c r="E69" t="s">
        <v>1259</v>
      </c>
      <c r="F69" t="s">
        <v>70</v>
      </c>
      <c r="G69" t="s">
        <v>12</v>
      </c>
      <c r="H69" t="s">
        <v>1779</v>
      </c>
      <c r="I69" t="s">
        <v>35</v>
      </c>
      <c r="J69" t="s">
        <v>2299</v>
      </c>
      <c r="K69" t="s">
        <v>5</v>
      </c>
      <c r="L69" s="22">
        <v>9</v>
      </c>
      <c r="M69" s="31">
        <v>1</v>
      </c>
      <c r="N69" s="11" t="s">
        <v>5</v>
      </c>
      <c r="O69" s="22">
        <v>86</v>
      </c>
      <c r="P69" s="1">
        <v>86</v>
      </c>
      <c r="R69" t="s">
        <v>40</v>
      </c>
    </row>
    <row r="70" spans="1:18" x14ac:dyDescent="0.25">
      <c r="A70" t="s">
        <v>220</v>
      </c>
      <c r="B70" t="s">
        <v>88</v>
      </c>
      <c r="C70" t="s">
        <v>48</v>
      </c>
      <c r="D70" s="1" t="s">
        <v>740</v>
      </c>
      <c r="E70" t="s">
        <v>1260</v>
      </c>
      <c r="F70" t="s">
        <v>49</v>
      </c>
      <c r="G70" t="s">
        <v>11</v>
      </c>
      <c r="H70" t="s">
        <v>1780</v>
      </c>
      <c r="I70" t="s">
        <v>46</v>
      </c>
      <c r="J70" t="s">
        <v>2300</v>
      </c>
      <c r="K70" t="s">
        <v>5</v>
      </c>
      <c r="L70" s="22">
        <v>7</v>
      </c>
      <c r="M70" s="30">
        <v>1</v>
      </c>
      <c r="N70" s="11" t="s">
        <v>5</v>
      </c>
      <c r="O70" s="1">
        <v>58</v>
      </c>
      <c r="P70" s="1">
        <v>58</v>
      </c>
    </row>
    <row r="71" spans="1:18" x14ac:dyDescent="0.25">
      <c r="A71" t="s">
        <v>221</v>
      </c>
      <c r="B71" t="s">
        <v>96</v>
      </c>
      <c r="C71" t="s">
        <v>97</v>
      </c>
      <c r="D71" s="1" t="s">
        <v>741</v>
      </c>
      <c r="E71" t="s">
        <v>1261</v>
      </c>
      <c r="F71" t="s">
        <v>75</v>
      </c>
      <c r="G71" t="s">
        <v>12</v>
      </c>
      <c r="H71" t="s">
        <v>1781</v>
      </c>
      <c r="I71" t="s">
        <v>50</v>
      </c>
      <c r="J71" t="s">
        <v>2301</v>
      </c>
      <c r="K71" t="s">
        <v>5</v>
      </c>
      <c r="L71" s="22">
        <v>7</v>
      </c>
      <c r="M71" s="30">
        <v>1</v>
      </c>
      <c r="N71" s="11" t="s">
        <v>5</v>
      </c>
      <c r="O71" s="1">
        <v>78</v>
      </c>
      <c r="P71" s="1">
        <v>78</v>
      </c>
    </row>
    <row r="72" spans="1:18" x14ac:dyDescent="0.25">
      <c r="A72" t="s">
        <v>222</v>
      </c>
      <c r="B72" t="s">
        <v>98</v>
      </c>
      <c r="C72" t="s">
        <v>74</v>
      </c>
      <c r="D72" s="1" t="s">
        <v>742</v>
      </c>
      <c r="E72" t="s">
        <v>1262</v>
      </c>
      <c r="F72" t="s">
        <v>75</v>
      </c>
      <c r="G72" t="s">
        <v>8</v>
      </c>
      <c r="H72" t="s">
        <v>1782</v>
      </c>
      <c r="I72" t="s">
        <v>92</v>
      </c>
      <c r="J72" t="s">
        <v>2302</v>
      </c>
      <c r="K72" t="s">
        <v>5</v>
      </c>
      <c r="L72" s="22">
        <v>7</v>
      </c>
      <c r="M72" s="31">
        <v>1</v>
      </c>
      <c r="N72" s="11" t="s">
        <v>5</v>
      </c>
      <c r="O72" s="22">
        <v>58</v>
      </c>
      <c r="P72" s="1">
        <v>58</v>
      </c>
      <c r="R72" t="s">
        <v>40</v>
      </c>
    </row>
    <row r="73" spans="1:18" x14ac:dyDescent="0.25">
      <c r="A73" t="s">
        <v>223</v>
      </c>
      <c r="B73" t="s">
        <v>56</v>
      </c>
      <c r="C73" t="s">
        <v>57</v>
      </c>
      <c r="D73" s="1" t="s">
        <v>743</v>
      </c>
      <c r="E73" t="s">
        <v>1263</v>
      </c>
      <c r="F73" t="s">
        <v>34</v>
      </c>
      <c r="G73" t="s">
        <v>12</v>
      </c>
      <c r="H73" t="s">
        <v>1783</v>
      </c>
      <c r="I73" t="s">
        <v>50</v>
      </c>
      <c r="J73" t="s">
        <v>2303</v>
      </c>
      <c r="K73" t="s">
        <v>5</v>
      </c>
      <c r="L73" s="22">
        <v>9</v>
      </c>
      <c r="M73" s="30">
        <v>0.61904761904761907</v>
      </c>
      <c r="N73" s="11" t="s">
        <v>6</v>
      </c>
      <c r="O73" s="22">
        <v>84</v>
      </c>
      <c r="P73" s="1">
        <v>52</v>
      </c>
      <c r="R73" t="s">
        <v>40</v>
      </c>
    </row>
    <row r="74" spans="1:18" x14ac:dyDescent="0.25">
      <c r="A74" t="s">
        <v>224</v>
      </c>
      <c r="B74" t="s">
        <v>53</v>
      </c>
      <c r="C74" t="s">
        <v>48</v>
      </c>
      <c r="D74" s="1" t="s">
        <v>744</v>
      </c>
      <c r="E74" t="s">
        <v>1264</v>
      </c>
      <c r="F74" t="s">
        <v>34</v>
      </c>
      <c r="G74" t="s">
        <v>12</v>
      </c>
      <c r="H74" t="s">
        <v>1784</v>
      </c>
      <c r="I74" t="s">
        <v>71</v>
      </c>
      <c r="J74" t="s">
        <v>2304</v>
      </c>
      <c r="K74" t="s">
        <v>5</v>
      </c>
      <c r="L74" s="22">
        <v>9</v>
      </c>
      <c r="M74" s="30">
        <v>1</v>
      </c>
      <c r="N74" s="11" t="s">
        <v>5</v>
      </c>
      <c r="O74" s="1">
        <v>84</v>
      </c>
      <c r="P74" s="1">
        <v>84</v>
      </c>
    </row>
    <row r="75" spans="1:18" x14ac:dyDescent="0.25">
      <c r="A75" t="s">
        <v>225</v>
      </c>
      <c r="B75" t="s">
        <v>51</v>
      </c>
      <c r="C75" t="s">
        <v>37</v>
      </c>
      <c r="D75" s="1" t="s">
        <v>745</v>
      </c>
      <c r="E75" t="s">
        <v>1265</v>
      </c>
      <c r="F75" t="s">
        <v>41</v>
      </c>
      <c r="G75" t="s">
        <v>12</v>
      </c>
      <c r="H75" t="s">
        <v>1785</v>
      </c>
      <c r="I75" t="s">
        <v>72</v>
      </c>
      <c r="J75" t="s">
        <v>2305</v>
      </c>
      <c r="K75" t="s">
        <v>5</v>
      </c>
      <c r="L75" s="22">
        <v>9</v>
      </c>
      <c r="M75" s="30">
        <v>1</v>
      </c>
      <c r="N75" s="11" t="s">
        <v>5</v>
      </c>
      <c r="O75" s="1">
        <v>78</v>
      </c>
      <c r="P75" s="1">
        <v>78</v>
      </c>
    </row>
    <row r="76" spans="1:18" x14ac:dyDescent="0.25">
      <c r="A76" t="s">
        <v>226</v>
      </c>
      <c r="B76" t="s">
        <v>53</v>
      </c>
      <c r="C76" t="s">
        <v>48</v>
      </c>
      <c r="D76" s="1" t="s">
        <v>746</v>
      </c>
      <c r="E76" t="s">
        <v>1266</v>
      </c>
      <c r="F76" t="s">
        <v>43</v>
      </c>
      <c r="G76" t="s">
        <v>12</v>
      </c>
      <c r="H76" t="s">
        <v>1786</v>
      </c>
      <c r="I76" t="s">
        <v>64</v>
      </c>
      <c r="J76" t="s">
        <v>2306</v>
      </c>
      <c r="K76" t="s">
        <v>5</v>
      </c>
      <c r="L76" s="22">
        <v>9</v>
      </c>
      <c r="M76" s="30">
        <v>0.68181818181818177</v>
      </c>
      <c r="N76" s="11" t="s">
        <v>6</v>
      </c>
      <c r="O76" s="1">
        <v>66</v>
      </c>
      <c r="P76" s="1">
        <v>45</v>
      </c>
      <c r="R76" t="s">
        <v>40</v>
      </c>
    </row>
    <row r="77" spans="1:18" x14ac:dyDescent="0.25">
      <c r="A77" t="s">
        <v>227</v>
      </c>
      <c r="B77" t="s">
        <v>88</v>
      </c>
      <c r="C77" t="s">
        <v>48</v>
      </c>
      <c r="D77" s="1" t="s">
        <v>747</v>
      </c>
      <c r="E77" t="s">
        <v>1267</v>
      </c>
      <c r="F77" t="s">
        <v>70</v>
      </c>
      <c r="G77" t="s">
        <v>12</v>
      </c>
      <c r="H77" t="s">
        <v>1787</v>
      </c>
      <c r="I77" t="s">
        <v>35</v>
      </c>
      <c r="J77" t="s">
        <v>2307</v>
      </c>
      <c r="K77" t="s">
        <v>5</v>
      </c>
      <c r="L77" s="22">
        <v>9</v>
      </c>
      <c r="M77" s="31">
        <v>1</v>
      </c>
      <c r="N77" s="11" t="s">
        <v>5</v>
      </c>
      <c r="O77" s="22">
        <v>108</v>
      </c>
      <c r="P77" s="1">
        <v>108</v>
      </c>
      <c r="R77" t="s">
        <v>40</v>
      </c>
    </row>
    <row r="78" spans="1:18" x14ac:dyDescent="0.25">
      <c r="A78" t="s">
        <v>228</v>
      </c>
      <c r="B78" t="s">
        <v>60</v>
      </c>
      <c r="C78" t="s">
        <v>37</v>
      </c>
      <c r="D78" s="1" t="s">
        <v>748</v>
      </c>
      <c r="E78" t="s">
        <v>1268</v>
      </c>
      <c r="F78" t="s">
        <v>75</v>
      </c>
      <c r="G78" t="s">
        <v>8</v>
      </c>
      <c r="H78" t="s">
        <v>1788</v>
      </c>
      <c r="I78" t="s">
        <v>61</v>
      </c>
      <c r="J78" t="s">
        <v>2308</v>
      </c>
      <c r="K78" t="s">
        <v>5</v>
      </c>
      <c r="L78" s="22">
        <v>9</v>
      </c>
      <c r="M78" s="31">
        <v>1</v>
      </c>
      <c r="N78" s="11" t="s">
        <v>5</v>
      </c>
      <c r="O78" s="22">
        <v>80</v>
      </c>
      <c r="P78" s="1">
        <v>80</v>
      </c>
      <c r="R78" t="s">
        <v>40</v>
      </c>
    </row>
    <row r="79" spans="1:18" x14ac:dyDescent="0.25">
      <c r="A79" t="s">
        <v>229</v>
      </c>
      <c r="B79" t="s">
        <v>53</v>
      </c>
      <c r="C79" t="s">
        <v>48</v>
      </c>
      <c r="D79" s="1" t="s">
        <v>749</v>
      </c>
      <c r="E79" t="s">
        <v>1269</v>
      </c>
      <c r="F79" t="s">
        <v>82</v>
      </c>
      <c r="G79" t="s">
        <v>12</v>
      </c>
      <c r="H79" t="s">
        <v>1789</v>
      </c>
      <c r="I79" t="s">
        <v>35</v>
      </c>
      <c r="J79" t="s">
        <v>2309</v>
      </c>
      <c r="K79" t="s">
        <v>5</v>
      </c>
      <c r="L79" s="22">
        <v>9</v>
      </c>
      <c r="M79" s="31">
        <v>1</v>
      </c>
      <c r="N79" s="11" t="s">
        <v>5</v>
      </c>
      <c r="O79" s="22">
        <v>108</v>
      </c>
      <c r="P79" s="1">
        <v>108</v>
      </c>
      <c r="R79" t="s">
        <v>40</v>
      </c>
    </row>
    <row r="80" spans="1:18" x14ac:dyDescent="0.25">
      <c r="A80" t="s">
        <v>230</v>
      </c>
      <c r="B80" t="s">
        <v>60</v>
      </c>
      <c r="C80" t="s">
        <v>37</v>
      </c>
      <c r="D80" s="1" t="s">
        <v>750</v>
      </c>
      <c r="E80" t="s">
        <v>1270</v>
      </c>
      <c r="F80" t="s">
        <v>34</v>
      </c>
      <c r="G80" t="s">
        <v>8</v>
      </c>
      <c r="H80" t="s">
        <v>1790</v>
      </c>
      <c r="I80" t="s">
        <v>61</v>
      </c>
      <c r="J80" t="s">
        <v>2310</v>
      </c>
      <c r="K80" t="s">
        <v>5</v>
      </c>
      <c r="L80" s="22">
        <v>7</v>
      </c>
      <c r="M80" s="31">
        <v>0.67948717948717952</v>
      </c>
      <c r="N80" s="11" t="s">
        <v>6</v>
      </c>
      <c r="O80" s="22">
        <v>78</v>
      </c>
      <c r="P80" s="1">
        <v>53</v>
      </c>
      <c r="R80" t="s">
        <v>40</v>
      </c>
    </row>
    <row r="81" spans="1:18" x14ac:dyDescent="0.25">
      <c r="A81" t="s">
        <v>231</v>
      </c>
      <c r="B81" t="s">
        <v>73</v>
      </c>
      <c r="C81" t="s">
        <v>74</v>
      </c>
      <c r="D81" s="1" t="s">
        <v>751</v>
      </c>
      <c r="E81" t="s">
        <v>1271</v>
      </c>
      <c r="F81" t="s">
        <v>34</v>
      </c>
      <c r="G81" t="s">
        <v>11</v>
      </c>
      <c r="H81" t="s">
        <v>1791</v>
      </c>
      <c r="I81" t="s">
        <v>81</v>
      </c>
      <c r="J81" t="s">
        <v>2311</v>
      </c>
      <c r="K81" t="s">
        <v>5</v>
      </c>
      <c r="L81" s="22">
        <v>4</v>
      </c>
      <c r="M81" s="30">
        <v>1</v>
      </c>
      <c r="N81" s="11" t="s">
        <v>5</v>
      </c>
      <c r="O81" s="1">
        <v>75</v>
      </c>
      <c r="P81" s="1">
        <v>75</v>
      </c>
    </row>
    <row r="82" spans="1:18" x14ac:dyDescent="0.25">
      <c r="A82" t="s">
        <v>232</v>
      </c>
      <c r="B82" t="s">
        <v>77</v>
      </c>
      <c r="C82" t="s">
        <v>57</v>
      </c>
      <c r="D82" s="1" t="s">
        <v>752</v>
      </c>
      <c r="E82" t="s">
        <v>1272</v>
      </c>
      <c r="F82" t="s">
        <v>75</v>
      </c>
      <c r="G82" t="s">
        <v>8</v>
      </c>
      <c r="H82" t="s">
        <v>1792</v>
      </c>
      <c r="I82" t="s">
        <v>61</v>
      </c>
      <c r="J82" t="s">
        <v>2312</v>
      </c>
      <c r="K82" t="s">
        <v>5</v>
      </c>
      <c r="L82" s="22">
        <v>7</v>
      </c>
      <c r="M82" s="31">
        <v>1</v>
      </c>
      <c r="N82" s="11" t="s">
        <v>5</v>
      </c>
      <c r="O82" s="22">
        <v>58</v>
      </c>
      <c r="P82" s="1">
        <v>58</v>
      </c>
      <c r="R82" t="s">
        <v>40</v>
      </c>
    </row>
    <row r="83" spans="1:18" x14ac:dyDescent="0.25">
      <c r="A83" t="s">
        <v>233</v>
      </c>
      <c r="B83" t="s">
        <v>53</v>
      </c>
      <c r="C83" t="s">
        <v>48</v>
      </c>
      <c r="D83" s="1" t="s">
        <v>753</v>
      </c>
      <c r="E83" t="s">
        <v>1273</v>
      </c>
      <c r="F83" t="s">
        <v>34</v>
      </c>
      <c r="G83" t="s">
        <v>12</v>
      </c>
      <c r="H83" t="s">
        <v>1793</v>
      </c>
      <c r="I83" t="s">
        <v>42</v>
      </c>
      <c r="J83" t="s">
        <v>2313</v>
      </c>
      <c r="K83" t="s">
        <v>5</v>
      </c>
      <c r="L83" s="22">
        <v>7</v>
      </c>
      <c r="M83" s="30">
        <v>1</v>
      </c>
      <c r="N83" s="11" t="s">
        <v>5</v>
      </c>
      <c r="O83" s="1">
        <v>78</v>
      </c>
      <c r="P83" s="1">
        <v>78</v>
      </c>
      <c r="R83" t="s">
        <v>40</v>
      </c>
    </row>
    <row r="84" spans="1:18" x14ac:dyDescent="0.25">
      <c r="A84" t="s">
        <v>234</v>
      </c>
      <c r="B84" t="s">
        <v>88</v>
      </c>
      <c r="C84" t="s">
        <v>48</v>
      </c>
      <c r="D84" s="1" t="s">
        <v>754</v>
      </c>
      <c r="E84" t="s">
        <v>1274</v>
      </c>
      <c r="F84" t="s">
        <v>69</v>
      </c>
      <c r="G84" t="s">
        <v>12</v>
      </c>
      <c r="H84" t="s">
        <v>1794</v>
      </c>
      <c r="I84" t="s">
        <v>35</v>
      </c>
      <c r="J84" t="s">
        <v>2314</v>
      </c>
      <c r="K84" t="s">
        <v>5</v>
      </c>
      <c r="L84" s="22">
        <v>9</v>
      </c>
      <c r="M84" s="30">
        <v>0.15714285714285714</v>
      </c>
      <c r="N84" s="11" t="s">
        <v>6</v>
      </c>
      <c r="O84" s="1">
        <v>70</v>
      </c>
      <c r="P84" s="1">
        <v>11</v>
      </c>
    </row>
    <row r="85" spans="1:18" x14ac:dyDescent="0.25">
      <c r="A85" t="s">
        <v>235</v>
      </c>
      <c r="B85" t="s">
        <v>62</v>
      </c>
      <c r="C85" t="s">
        <v>63</v>
      </c>
      <c r="D85" s="1" t="s">
        <v>755</v>
      </c>
      <c r="E85" t="s">
        <v>1275</v>
      </c>
      <c r="F85" t="s">
        <v>43</v>
      </c>
      <c r="G85" t="s">
        <v>12</v>
      </c>
      <c r="H85" t="s">
        <v>1795</v>
      </c>
      <c r="I85" t="s">
        <v>52</v>
      </c>
      <c r="J85" t="s">
        <v>2315</v>
      </c>
      <c r="K85" t="s">
        <v>5</v>
      </c>
      <c r="L85" s="22">
        <v>7</v>
      </c>
      <c r="M85" s="31">
        <v>0.11224489795918367</v>
      </c>
      <c r="N85" s="11" t="s">
        <v>6</v>
      </c>
      <c r="O85" s="22">
        <v>98</v>
      </c>
      <c r="P85" s="1">
        <v>11</v>
      </c>
      <c r="Q85" t="s">
        <v>44</v>
      </c>
      <c r="R85" t="s">
        <v>40</v>
      </c>
    </row>
    <row r="86" spans="1:18" x14ac:dyDescent="0.25">
      <c r="A86" t="s">
        <v>236</v>
      </c>
      <c r="B86" t="s">
        <v>53</v>
      </c>
      <c r="C86" t="s">
        <v>48</v>
      </c>
      <c r="D86" s="1" t="s">
        <v>756</v>
      </c>
      <c r="E86" t="s">
        <v>1276</v>
      </c>
      <c r="F86" t="s">
        <v>94</v>
      </c>
      <c r="G86" t="s">
        <v>12</v>
      </c>
      <c r="H86" t="s">
        <v>1796</v>
      </c>
      <c r="I86" t="s">
        <v>42</v>
      </c>
      <c r="J86" t="s">
        <v>2316</v>
      </c>
      <c r="K86" t="s">
        <v>5</v>
      </c>
      <c r="L86" s="22">
        <v>9</v>
      </c>
      <c r="M86" s="30">
        <v>1</v>
      </c>
      <c r="N86" s="11" t="s">
        <v>5</v>
      </c>
      <c r="O86" s="1">
        <v>86</v>
      </c>
      <c r="P86" s="1">
        <v>86</v>
      </c>
      <c r="R86" t="s">
        <v>40</v>
      </c>
    </row>
    <row r="87" spans="1:18" x14ac:dyDescent="0.25">
      <c r="A87" t="s">
        <v>237</v>
      </c>
      <c r="B87" t="s">
        <v>83</v>
      </c>
      <c r="C87" t="s">
        <v>57</v>
      </c>
      <c r="D87" s="1" t="s">
        <v>757</v>
      </c>
      <c r="E87" t="s">
        <v>1277</v>
      </c>
      <c r="F87" t="s">
        <v>34</v>
      </c>
      <c r="G87" t="s">
        <v>11</v>
      </c>
      <c r="H87" t="s">
        <v>1797</v>
      </c>
      <c r="I87" t="s">
        <v>81</v>
      </c>
      <c r="J87" t="s">
        <v>2317</v>
      </c>
      <c r="K87" t="s">
        <v>5</v>
      </c>
      <c r="L87" s="22">
        <v>8</v>
      </c>
      <c r="M87" s="30">
        <v>0.75268817204301075</v>
      </c>
      <c r="N87" s="11" t="s">
        <v>6</v>
      </c>
      <c r="O87" s="1">
        <v>93</v>
      </c>
      <c r="P87" s="1">
        <v>70</v>
      </c>
    </row>
    <row r="88" spans="1:18" x14ac:dyDescent="0.25">
      <c r="A88" t="s">
        <v>238</v>
      </c>
      <c r="B88" t="s">
        <v>99</v>
      </c>
      <c r="C88" t="s">
        <v>63</v>
      </c>
      <c r="D88" s="1" t="s">
        <v>758</v>
      </c>
      <c r="E88" t="s">
        <v>1278</v>
      </c>
      <c r="F88" t="s">
        <v>34</v>
      </c>
      <c r="G88" t="s">
        <v>11</v>
      </c>
      <c r="H88" t="s">
        <v>1798</v>
      </c>
      <c r="I88" t="s">
        <v>100</v>
      </c>
      <c r="J88" t="s">
        <v>2318</v>
      </c>
      <c r="K88" t="s">
        <v>5</v>
      </c>
      <c r="L88" s="22">
        <v>7</v>
      </c>
      <c r="M88" s="30">
        <v>0.79761904761904767</v>
      </c>
      <c r="N88" s="11" t="s">
        <v>6</v>
      </c>
      <c r="O88" s="1">
        <v>84</v>
      </c>
      <c r="P88" s="1">
        <v>67</v>
      </c>
    </row>
    <row r="89" spans="1:18" x14ac:dyDescent="0.25">
      <c r="A89" t="s">
        <v>239</v>
      </c>
      <c r="B89" t="s">
        <v>45</v>
      </c>
      <c r="C89" t="s">
        <v>37</v>
      </c>
      <c r="D89" s="1" t="s">
        <v>759</v>
      </c>
      <c r="E89" t="s">
        <v>1279</v>
      </c>
      <c r="F89" t="s">
        <v>43</v>
      </c>
      <c r="G89" t="s">
        <v>11</v>
      </c>
      <c r="H89" t="s">
        <v>1799</v>
      </c>
      <c r="I89" t="s">
        <v>46</v>
      </c>
      <c r="J89" t="s">
        <v>2319</v>
      </c>
      <c r="K89" t="s">
        <v>5</v>
      </c>
      <c r="L89" s="22">
        <v>7</v>
      </c>
      <c r="M89" s="30">
        <v>0.15384615384615385</v>
      </c>
      <c r="N89" s="11" t="s">
        <v>6</v>
      </c>
      <c r="O89" s="22">
        <v>78</v>
      </c>
      <c r="P89" s="1">
        <v>12</v>
      </c>
      <c r="R89" t="s">
        <v>40</v>
      </c>
    </row>
    <row r="90" spans="1:18" x14ac:dyDescent="0.25">
      <c r="A90" t="s">
        <v>240</v>
      </c>
      <c r="B90" t="s">
        <v>32</v>
      </c>
      <c r="C90" t="s">
        <v>33</v>
      </c>
      <c r="D90" s="1" t="s">
        <v>760</v>
      </c>
      <c r="E90" t="s">
        <v>1280</v>
      </c>
      <c r="F90" t="s">
        <v>34</v>
      </c>
      <c r="G90" t="s">
        <v>12</v>
      </c>
      <c r="H90" t="s">
        <v>1800</v>
      </c>
      <c r="I90" t="s">
        <v>101</v>
      </c>
      <c r="J90" t="s">
        <v>2320</v>
      </c>
      <c r="K90" t="s">
        <v>5</v>
      </c>
      <c r="L90" s="22">
        <v>7</v>
      </c>
      <c r="M90" s="31">
        <v>1</v>
      </c>
      <c r="N90" s="11" t="s">
        <v>5</v>
      </c>
      <c r="O90" s="22">
        <v>66</v>
      </c>
      <c r="P90" s="1">
        <v>66</v>
      </c>
      <c r="R90" t="s">
        <v>40</v>
      </c>
    </row>
    <row r="91" spans="1:18" x14ac:dyDescent="0.25">
      <c r="A91" t="s">
        <v>241</v>
      </c>
      <c r="B91" t="s">
        <v>102</v>
      </c>
      <c r="C91" t="s">
        <v>85</v>
      </c>
      <c r="D91" s="1" t="s">
        <v>761</v>
      </c>
      <c r="E91" t="s">
        <v>1281</v>
      </c>
      <c r="F91" t="s">
        <v>34</v>
      </c>
      <c r="G91" t="s">
        <v>12</v>
      </c>
      <c r="H91" t="s">
        <v>1801</v>
      </c>
      <c r="I91" t="s">
        <v>50</v>
      </c>
      <c r="J91" t="s">
        <v>2321</v>
      </c>
      <c r="K91" t="s">
        <v>5</v>
      </c>
      <c r="L91" s="22">
        <v>5</v>
      </c>
      <c r="M91" s="30">
        <v>1</v>
      </c>
      <c r="N91" s="11" t="s">
        <v>5</v>
      </c>
      <c r="O91" s="22">
        <v>62</v>
      </c>
      <c r="P91" s="1">
        <v>62</v>
      </c>
      <c r="R91" t="s">
        <v>40</v>
      </c>
    </row>
    <row r="92" spans="1:18" x14ac:dyDescent="0.25">
      <c r="A92" t="s">
        <v>242</v>
      </c>
      <c r="B92" t="s">
        <v>47</v>
      </c>
      <c r="C92" t="s">
        <v>48</v>
      </c>
      <c r="D92" s="1" t="s">
        <v>762</v>
      </c>
      <c r="E92" t="s">
        <v>1282</v>
      </c>
      <c r="F92" t="s">
        <v>43</v>
      </c>
      <c r="G92" t="s">
        <v>12</v>
      </c>
      <c r="H92" t="s">
        <v>1802</v>
      </c>
      <c r="I92" t="s">
        <v>103</v>
      </c>
      <c r="J92" t="s">
        <v>2322</v>
      </c>
      <c r="K92" t="s">
        <v>5</v>
      </c>
      <c r="L92" s="22">
        <v>7</v>
      </c>
      <c r="M92" s="31">
        <v>1</v>
      </c>
      <c r="N92" s="11" t="s">
        <v>5</v>
      </c>
      <c r="O92" s="22">
        <v>50</v>
      </c>
      <c r="P92" s="1">
        <v>50</v>
      </c>
      <c r="R92" t="s">
        <v>40</v>
      </c>
    </row>
    <row r="93" spans="1:18" x14ac:dyDescent="0.25">
      <c r="A93" t="s">
        <v>243</v>
      </c>
      <c r="B93" t="s">
        <v>47</v>
      </c>
      <c r="C93" t="s">
        <v>48</v>
      </c>
      <c r="D93" s="1" t="s">
        <v>763</v>
      </c>
      <c r="E93" t="s">
        <v>1283</v>
      </c>
      <c r="F93" t="s">
        <v>43</v>
      </c>
      <c r="G93" t="s">
        <v>12</v>
      </c>
      <c r="H93" t="s">
        <v>1803</v>
      </c>
      <c r="I93" t="s">
        <v>52</v>
      </c>
      <c r="J93" t="s">
        <v>2323</v>
      </c>
      <c r="K93" t="s">
        <v>5</v>
      </c>
      <c r="L93" s="22">
        <v>9</v>
      </c>
      <c r="M93" s="30">
        <v>0.73584905660377353</v>
      </c>
      <c r="N93" s="11" t="s">
        <v>6</v>
      </c>
      <c r="O93" s="1">
        <v>106</v>
      </c>
      <c r="P93" s="1">
        <v>78</v>
      </c>
      <c r="R93" t="s">
        <v>40</v>
      </c>
    </row>
    <row r="94" spans="1:18" x14ac:dyDescent="0.25">
      <c r="A94" t="s">
        <v>244</v>
      </c>
      <c r="B94" t="s">
        <v>78</v>
      </c>
      <c r="C94" t="s">
        <v>79</v>
      </c>
      <c r="D94" s="1" t="s">
        <v>764</v>
      </c>
      <c r="E94" t="s">
        <v>1284</v>
      </c>
      <c r="F94" t="s">
        <v>75</v>
      </c>
      <c r="G94" t="s">
        <v>12</v>
      </c>
      <c r="H94" t="s">
        <v>1804</v>
      </c>
      <c r="I94" t="s">
        <v>50</v>
      </c>
      <c r="J94" t="s">
        <v>2324</v>
      </c>
      <c r="K94" t="s">
        <v>5</v>
      </c>
      <c r="L94" s="22">
        <v>7</v>
      </c>
      <c r="M94" s="30">
        <v>1</v>
      </c>
      <c r="N94" s="11" t="s">
        <v>5</v>
      </c>
      <c r="O94" s="1">
        <v>66</v>
      </c>
      <c r="P94" s="1">
        <v>66</v>
      </c>
      <c r="R94" t="s">
        <v>40</v>
      </c>
    </row>
    <row r="95" spans="1:18" x14ac:dyDescent="0.25">
      <c r="A95" t="s">
        <v>245</v>
      </c>
      <c r="B95" t="s">
        <v>104</v>
      </c>
      <c r="C95" t="s">
        <v>57</v>
      </c>
      <c r="D95" s="1" t="s">
        <v>765</v>
      </c>
      <c r="E95" t="s">
        <v>1285</v>
      </c>
      <c r="F95" t="s">
        <v>38</v>
      </c>
      <c r="G95" t="s">
        <v>11</v>
      </c>
      <c r="H95" t="s">
        <v>1805</v>
      </c>
      <c r="I95" t="s">
        <v>66</v>
      </c>
      <c r="J95" t="s">
        <v>2325</v>
      </c>
      <c r="K95" t="s">
        <v>5</v>
      </c>
      <c r="L95" s="22">
        <v>7</v>
      </c>
      <c r="M95" s="30">
        <v>1</v>
      </c>
      <c r="N95" s="11" t="s">
        <v>5</v>
      </c>
      <c r="O95" s="1">
        <v>58</v>
      </c>
      <c r="P95" s="1">
        <v>58</v>
      </c>
      <c r="R95" t="s">
        <v>40</v>
      </c>
    </row>
    <row r="96" spans="1:18" x14ac:dyDescent="0.25">
      <c r="A96" t="s">
        <v>246</v>
      </c>
      <c r="B96" t="s">
        <v>62</v>
      </c>
      <c r="C96" t="s">
        <v>63</v>
      </c>
      <c r="D96" s="1" t="s">
        <v>766</v>
      </c>
      <c r="E96" t="s">
        <v>1286</v>
      </c>
      <c r="F96" t="s">
        <v>34</v>
      </c>
      <c r="G96" t="s">
        <v>12</v>
      </c>
      <c r="H96" t="s">
        <v>1806</v>
      </c>
      <c r="I96" t="s">
        <v>35</v>
      </c>
      <c r="J96" t="s">
        <v>2326</v>
      </c>
      <c r="K96" t="s">
        <v>5</v>
      </c>
      <c r="L96" s="22">
        <v>5</v>
      </c>
      <c r="M96" s="30">
        <v>0.12244897959183673</v>
      </c>
      <c r="N96" s="11" t="s">
        <v>6</v>
      </c>
      <c r="O96" s="1">
        <v>98</v>
      </c>
      <c r="P96" s="1">
        <v>12</v>
      </c>
    </row>
    <row r="97" spans="1:18" x14ac:dyDescent="0.25">
      <c r="A97" t="s">
        <v>247</v>
      </c>
      <c r="B97" t="s">
        <v>105</v>
      </c>
      <c r="C97" t="s">
        <v>74</v>
      </c>
      <c r="D97" s="1" t="s">
        <v>767</v>
      </c>
      <c r="E97" t="s">
        <v>1287</v>
      </c>
      <c r="F97" t="s">
        <v>34</v>
      </c>
      <c r="G97" t="s">
        <v>10</v>
      </c>
      <c r="H97" t="s">
        <v>1807</v>
      </c>
      <c r="I97" t="s">
        <v>106</v>
      </c>
      <c r="J97" t="s">
        <v>2327</v>
      </c>
      <c r="K97" t="s">
        <v>5</v>
      </c>
      <c r="L97" s="22">
        <v>18</v>
      </c>
      <c r="M97" s="30">
        <v>0.75</v>
      </c>
      <c r="N97" s="11" t="s">
        <v>6</v>
      </c>
      <c r="O97" s="1">
        <v>72</v>
      </c>
      <c r="P97" s="1">
        <v>54</v>
      </c>
    </row>
    <row r="98" spans="1:18" x14ac:dyDescent="0.25">
      <c r="A98" t="s">
        <v>248</v>
      </c>
      <c r="B98" t="s">
        <v>53</v>
      </c>
      <c r="C98" t="s">
        <v>48</v>
      </c>
      <c r="D98" s="1" t="s">
        <v>768</v>
      </c>
      <c r="E98" t="s">
        <v>1288</v>
      </c>
      <c r="F98" t="s">
        <v>34</v>
      </c>
      <c r="G98" t="s">
        <v>12</v>
      </c>
      <c r="H98" t="s">
        <v>1808</v>
      </c>
      <c r="I98" t="s">
        <v>107</v>
      </c>
      <c r="J98" t="s">
        <v>2328</v>
      </c>
      <c r="K98" t="s">
        <v>5</v>
      </c>
      <c r="L98" s="22">
        <v>9</v>
      </c>
      <c r="M98" s="30">
        <v>0.77142857142857146</v>
      </c>
      <c r="N98" s="11" t="s">
        <v>6</v>
      </c>
      <c r="O98" s="1">
        <v>70</v>
      </c>
      <c r="P98" s="1">
        <v>54</v>
      </c>
    </row>
    <row r="99" spans="1:18" x14ac:dyDescent="0.25">
      <c r="A99" t="s">
        <v>249</v>
      </c>
      <c r="B99" t="s">
        <v>90</v>
      </c>
      <c r="C99" t="s">
        <v>91</v>
      </c>
      <c r="D99" s="1" t="s">
        <v>769</v>
      </c>
      <c r="E99" t="s">
        <v>1289</v>
      </c>
      <c r="F99" t="s">
        <v>34</v>
      </c>
      <c r="G99" t="s">
        <v>8</v>
      </c>
      <c r="H99" t="s">
        <v>1809</v>
      </c>
      <c r="I99" t="s">
        <v>61</v>
      </c>
      <c r="J99" t="s">
        <v>2329</v>
      </c>
      <c r="K99" t="s">
        <v>5</v>
      </c>
      <c r="L99" s="22">
        <v>7</v>
      </c>
      <c r="M99" s="30">
        <v>0.109375</v>
      </c>
      <c r="N99" s="11" t="s">
        <v>6</v>
      </c>
      <c r="O99" s="1">
        <v>64</v>
      </c>
      <c r="P99" s="1">
        <v>7</v>
      </c>
      <c r="R99" t="s">
        <v>40</v>
      </c>
    </row>
    <row r="100" spans="1:18" x14ac:dyDescent="0.25">
      <c r="A100" t="s">
        <v>250</v>
      </c>
      <c r="B100" t="s">
        <v>53</v>
      </c>
      <c r="C100" t="s">
        <v>48</v>
      </c>
      <c r="D100" s="1" t="s">
        <v>770</v>
      </c>
      <c r="E100" t="s">
        <v>1290</v>
      </c>
      <c r="F100" t="s">
        <v>34</v>
      </c>
      <c r="G100" t="s">
        <v>11</v>
      </c>
      <c r="H100" t="s">
        <v>1810</v>
      </c>
      <c r="I100" t="s">
        <v>108</v>
      </c>
      <c r="J100" t="s">
        <v>2330</v>
      </c>
      <c r="K100" t="s">
        <v>5</v>
      </c>
      <c r="L100" s="22">
        <v>7</v>
      </c>
      <c r="M100" s="30">
        <v>0.77586206896551724</v>
      </c>
      <c r="N100" s="11" t="s">
        <v>6</v>
      </c>
      <c r="O100" s="1">
        <v>58</v>
      </c>
      <c r="P100" s="1">
        <v>45</v>
      </c>
      <c r="R100" t="s">
        <v>40</v>
      </c>
    </row>
    <row r="101" spans="1:18" x14ac:dyDescent="0.25">
      <c r="A101" t="s">
        <v>251</v>
      </c>
      <c r="B101" t="s">
        <v>51</v>
      </c>
      <c r="C101" t="s">
        <v>37</v>
      </c>
      <c r="D101" s="1" t="s">
        <v>771</v>
      </c>
      <c r="E101" t="s">
        <v>1291</v>
      </c>
      <c r="F101" t="s">
        <v>34</v>
      </c>
      <c r="G101" t="s">
        <v>12</v>
      </c>
      <c r="H101" t="s">
        <v>1811</v>
      </c>
      <c r="I101" t="s">
        <v>58</v>
      </c>
      <c r="J101" t="s">
        <v>2331</v>
      </c>
      <c r="K101" t="s">
        <v>5</v>
      </c>
      <c r="L101" s="22">
        <v>9</v>
      </c>
      <c r="M101" s="30">
        <v>0.56140350877192979</v>
      </c>
      <c r="N101" s="11" t="s">
        <v>6</v>
      </c>
      <c r="O101" s="1">
        <v>114</v>
      </c>
      <c r="P101" s="1">
        <v>64</v>
      </c>
    </row>
    <row r="102" spans="1:18" x14ac:dyDescent="0.25">
      <c r="A102" t="s">
        <v>252</v>
      </c>
      <c r="B102" t="s">
        <v>67</v>
      </c>
      <c r="C102" t="s">
        <v>48</v>
      </c>
      <c r="D102" s="1" t="s">
        <v>772</v>
      </c>
      <c r="E102" t="s">
        <v>1292</v>
      </c>
      <c r="F102" t="s">
        <v>34</v>
      </c>
      <c r="G102" t="s">
        <v>12</v>
      </c>
      <c r="H102" t="s">
        <v>1812</v>
      </c>
      <c r="I102" t="s">
        <v>68</v>
      </c>
      <c r="J102" t="s">
        <v>2332</v>
      </c>
      <c r="K102" t="s">
        <v>5</v>
      </c>
      <c r="L102" s="22">
        <v>7</v>
      </c>
      <c r="M102" s="31">
        <v>0.63888888888888884</v>
      </c>
      <c r="N102" s="11" t="s">
        <v>6</v>
      </c>
      <c r="O102" s="22">
        <v>72</v>
      </c>
      <c r="P102" s="1">
        <v>46</v>
      </c>
      <c r="R102" t="s">
        <v>40</v>
      </c>
    </row>
    <row r="103" spans="1:18" x14ac:dyDescent="0.25">
      <c r="A103" t="s">
        <v>253</v>
      </c>
      <c r="B103" t="s">
        <v>109</v>
      </c>
      <c r="C103" t="s">
        <v>85</v>
      </c>
      <c r="D103" s="1" t="s">
        <v>773</v>
      </c>
      <c r="E103" t="s">
        <v>1293</v>
      </c>
      <c r="F103" t="s">
        <v>43</v>
      </c>
      <c r="G103" t="s">
        <v>12</v>
      </c>
      <c r="H103" t="s">
        <v>1813</v>
      </c>
      <c r="I103" t="s">
        <v>52</v>
      </c>
      <c r="J103" t="s">
        <v>2333</v>
      </c>
      <c r="K103" t="s">
        <v>5</v>
      </c>
      <c r="L103" s="22">
        <v>7</v>
      </c>
      <c r="M103" s="30">
        <v>0.36585365853658536</v>
      </c>
      <c r="N103" s="11" t="s">
        <v>6</v>
      </c>
      <c r="O103" s="1">
        <v>82</v>
      </c>
      <c r="P103" s="1">
        <v>30</v>
      </c>
      <c r="R103" t="s">
        <v>40</v>
      </c>
    </row>
    <row r="104" spans="1:18" x14ac:dyDescent="0.25">
      <c r="A104" t="s">
        <v>254</v>
      </c>
      <c r="B104" t="s">
        <v>99</v>
      </c>
      <c r="C104" t="s">
        <v>63</v>
      </c>
      <c r="D104" s="1" t="s">
        <v>774</v>
      </c>
      <c r="E104" t="s">
        <v>1294</v>
      </c>
      <c r="F104" t="s">
        <v>34</v>
      </c>
      <c r="G104" t="s">
        <v>12</v>
      </c>
      <c r="H104" t="s">
        <v>1814</v>
      </c>
      <c r="I104" t="s">
        <v>64</v>
      </c>
      <c r="J104" t="s">
        <v>2334</v>
      </c>
      <c r="K104" t="s">
        <v>5</v>
      </c>
      <c r="L104" s="22">
        <v>7</v>
      </c>
      <c r="M104" s="30">
        <v>1</v>
      </c>
      <c r="N104" s="1" t="s">
        <v>5</v>
      </c>
      <c r="O104" s="1">
        <v>82</v>
      </c>
      <c r="P104" s="1">
        <v>82</v>
      </c>
      <c r="Q104" t="s">
        <v>44</v>
      </c>
      <c r="R104" t="s">
        <v>40</v>
      </c>
    </row>
    <row r="105" spans="1:18" x14ac:dyDescent="0.25">
      <c r="A105" t="s">
        <v>255</v>
      </c>
      <c r="B105" t="s">
        <v>45</v>
      </c>
      <c r="C105" t="s">
        <v>37</v>
      </c>
      <c r="D105" s="1" t="s">
        <v>775</v>
      </c>
      <c r="E105" t="s">
        <v>1295</v>
      </c>
      <c r="F105" t="s">
        <v>34</v>
      </c>
      <c r="G105" t="s">
        <v>11</v>
      </c>
      <c r="H105" t="s">
        <v>1815</v>
      </c>
      <c r="I105" t="s">
        <v>108</v>
      </c>
      <c r="J105" t="s">
        <v>2335</v>
      </c>
      <c r="K105" t="s">
        <v>5</v>
      </c>
      <c r="L105" s="22">
        <v>7</v>
      </c>
      <c r="M105" s="30">
        <v>0.85897435897435892</v>
      </c>
      <c r="N105" s="11" t="s">
        <v>6</v>
      </c>
      <c r="O105" s="1">
        <v>78</v>
      </c>
      <c r="P105" s="1">
        <v>67</v>
      </c>
      <c r="Q105" t="s">
        <v>44</v>
      </c>
      <c r="R105" t="s">
        <v>40</v>
      </c>
    </row>
    <row r="106" spans="1:18" x14ac:dyDescent="0.25">
      <c r="A106" t="s">
        <v>256</v>
      </c>
      <c r="B106" t="s">
        <v>53</v>
      </c>
      <c r="C106" t="s">
        <v>48</v>
      </c>
      <c r="D106" s="1" t="s">
        <v>776</v>
      </c>
      <c r="E106" t="s">
        <v>1296</v>
      </c>
      <c r="F106" t="s">
        <v>34</v>
      </c>
      <c r="G106" t="s">
        <v>12</v>
      </c>
      <c r="H106" t="s">
        <v>1816</v>
      </c>
      <c r="I106" t="s">
        <v>42</v>
      </c>
      <c r="J106" t="s">
        <v>2336</v>
      </c>
      <c r="K106" t="s">
        <v>5</v>
      </c>
      <c r="L106" s="22">
        <v>7</v>
      </c>
      <c r="M106" s="30">
        <v>1</v>
      </c>
      <c r="N106" s="11" t="s">
        <v>5</v>
      </c>
      <c r="O106" s="22">
        <v>62</v>
      </c>
      <c r="P106" s="1">
        <v>62</v>
      </c>
      <c r="R106" t="s">
        <v>40</v>
      </c>
    </row>
    <row r="107" spans="1:18" x14ac:dyDescent="0.25">
      <c r="A107" t="s">
        <v>257</v>
      </c>
      <c r="B107" t="s">
        <v>67</v>
      </c>
      <c r="C107" t="s">
        <v>48</v>
      </c>
      <c r="D107" s="1" t="s">
        <v>777</v>
      </c>
      <c r="E107" t="s">
        <v>1297</v>
      </c>
      <c r="F107" t="s">
        <v>34</v>
      </c>
      <c r="G107" t="s">
        <v>12</v>
      </c>
      <c r="H107" t="s">
        <v>1817</v>
      </c>
      <c r="I107" t="s">
        <v>59</v>
      </c>
      <c r="J107" t="s">
        <v>2337</v>
      </c>
      <c r="K107" t="s">
        <v>5</v>
      </c>
      <c r="L107" s="22">
        <v>9</v>
      </c>
      <c r="M107" s="30">
        <v>0.46808510638297873</v>
      </c>
      <c r="N107" s="11" t="s">
        <v>6</v>
      </c>
      <c r="O107" s="1">
        <v>94</v>
      </c>
      <c r="P107" s="1">
        <v>44</v>
      </c>
    </row>
    <row r="108" spans="1:18" x14ac:dyDescent="0.25">
      <c r="A108" t="s">
        <v>258</v>
      </c>
      <c r="B108" t="s">
        <v>56</v>
      </c>
      <c r="C108" t="s">
        <v>57</v>
      </c>
      <c r="D108" s="1" t="s">
        <v>778</v>
      </c>
      <c r="E108" t="s">
        <v>1298</v>
      </c>
      <c r="F108" t="s">
        <v>34</v>
      </c>
      <c r="G108" t="s">
        <v>12</v>
      </c>
      <c r="H108" t="s">
        <v>1818</v>
      </c>
      <c r="I108" t="s">
        <v>71</v>
      </c>
      <c r="J108" t="s">
        <v>2338</v>
      </c>
      <c r="K108" t="s">
        <v>5</v>
      </c>
      <c r="L108" s="22">
        <v>7</v>
      </c>
      <c r="M108" s="31">
        <v>0.30303030303030304</v>
      </c>
      <c r="N108" s="11" t="s">
        <v>6</v>
      </c>
      <c r="O108" s="22">
        <v>66</v>
      </c>
      <c r="P108" s="1">
        <v>20</v>
      </c>
      <c r="R108" t="s">
        <v>40</v>
      </c>
    </row>
    <row r="109" spans="1:18" x14ac:dyDescent="0.25">
      <c r="A109" t="s">
        <v>259</v>
      </c>
      <c r="B109" t="s">
        <v>110</v>
      </c>
      <c r="C109" t="s">
        <v>74</v>
      </c>
      <c r="D109" s="1" t="s">
        <v>779</v>
      </c>
      <c r="E109" t="s">
        <v>1299</v>
      </c>
      <c r="F109" t="s">
        <v>38</v>
      </c>
      <c r="G109" t="s">
        <v>11</v>
      </c>
      <c r="H109" t="s">
        <v>1819</v>
      </c>
      <c r="I109" t="s">
        <v>66</v>
      </c>
      <c r="J109" t="s">
        <v>2339</v>
      </c>
      <c r="K109" t="s">
        <v>5</v>
      </c>
      <c r="L109" s="22">
        <v>7</v>
      </c>
      <c r="M109" s="30">
        <v>1</v>
      </c>
      <c r="N109" s="11" t="s">
        <v>5</v>
      </c>
      <c r="O109" s="22">
        <v>58</v>
      </c>
      <c r="P109" s="1">
        <v>58</v>
      </c>
      <c r="R109" t="s">
        <v>40</v>
      </c>
    </row>
    <row r="110" spans="1:18" x14ac:dyDescent="0.25">
      <c r="A110" t="s">
        <v>260</v>
      </c>
      <c r="B110" t="s">
        <v>47</v>
      </c>
      <c r="C110" t="s">
        <v>48</v>
      </c>
      <c r="D110" s="1" t="s">
        <v>780</v>
      </c>
      <c r="E110" t="s">
        <v>1300</v>
      </c>
      <c r="F110" t="s">
        <v>43</v>
      </c>
      <c r="G110" t="s">
        <v>12</v>
      </c>
      <c r="H110" t="s">
        <v>1820</v>
      </c>
      <c r="I110" t="s">
        <v>35</v>
      </c>
      <c r="J110" t="s">
        <v>2340</v>
      </c>
      <c r="K110" t="s">
        <v>5</v>
      </c>
      <c r="L110" s="22">
        <v>9</v>
      </c>
      <c r="M110" s="31">
        <v>1</v>
      </c>
      <c r="N110" s="11" t="s">
        <v>5</v>
      </c>
      <c r="O110" s="22">
        <v>84</v>
      </c>
      <c r="P110" s="1">
        <v>84</v>
      </c>
      <c r="R110" t="s">
        <v>40</v>
      </c>
    </row>
    <row r="111" spans="1:18" x14ac:dyDescent="0.25">
      <c r="A111" t="s">
        <v>261</v>
      </c>
      <c r="B111" t="s">
        <v>47</v>
      </c>
      <c r="C111" t="s">
        <v>48</v>
      </c>
      <c r="D111" s="1" t="s">
        <v>781</v>
      </c>
      <c r="E111" t="s">
        <v>1301</v>
      </c>
      <c r="F111" t="s">
        <v>43</v>
      </c>
      <c r="G111" t="s">
        <v>12</v>
      </c>
      <c r="H111" t="s">
        <v>1821</v>
      </c>
      <c r="I111" t="s">
        <v>111</v>
      </c>
      <c r="J111" t="s">
        <v>2341</v>
      </c>
      <c r="K111" t="s">
        <v>5</v>
      </c>
      <c r="L111" s="22">
        <v>9</v>
      </c>
      <c r="M111" s="31">
        <v>1</v>
      </c>
      <c r="N111" s="11" t="s">
        <v>5</v>
      </c>
      <c r="O111" s="22">
        <v>120</v>
      </c>
      <c r="P111" s="1">
        <v>120</v>
      </c>
      <c r="R111" t="s">
        <v>40</v>
      </c>
    </row>
    <row r="112" spans="1:18" x14ac:dyDescent="0.25">
      <c r="A112" t="s">
        <v>262</v>
      </c>
      <c r="B112" t="s">
        <v>51</v>
      </c>
      <c r="C112" t="s">
        <v>37</v>
      </c>
      <c r="D112" s="1" t="s">
        <v>782</v>
      </c>
      <c r="E112" t="s">
        <v>1302</v>
      </c>
      <c r="F112" t="s">
        <v>70</v>
      </c>
      <c r="G112" t="s">
        <v>12</v>
      </c>
      <c r="H112" t="s">
        <v>1822</v>
      </c>
      <c r="I112" t="s">
        <v>52</v>
      </c>
      <c r="J112" t="s">
        <v>2342</v>
      </c>
      <c r="K112" t="s">
        <v>5</v>
      </c>
      <c r="L112" s="22">
        <v>0</v>
      </c>
      <c r="M112" s="31">
        <v>1</v>
      </c>
      <c r="N112" s="11" t="s">
        <v>5</v>
      </c>
      <c r="O112" s="22">
        <v>92</v>
      </c>
      <c r="P112" s="1">
        <v>92</v>
      </c>
      <c r="R112" t="s">
        <v>40</v>
      </c>
    </row>
    <row r="113" spans="1:18" x14ac:dyDescent="0.25">
      <c r="A113" t="s">
        <v>263</v>
      </c>
      <c r="B113" t="s">
        <v>62</v>
      </c>
      <c r="C113" t="s">
        <v>63</v>
      </c>
      <c r="D113" s="1" t="s">
        <v>783</v>
      </c>
      <c r="E113" t="s">
        <v>1303</v>
      </c>
      <c r="F113" t="s">
        <v>69</v>
      </c>
      <c r="G113" t="s">
        <v>12</v>
      </c>
      <c r="H113" t="s">
        <v>1823</v>
      </c>
      <c r="I113" t="s">
        <v>35</v>
      </c>
      <c r="J113" t="s">
        <v>2343</v>
      </c>
      <c r="K113" t="s">
        <v>5</v>
      </c>
      <c r="L113" s="22">
        <v>7</v>
      </c>
      <c r="M113" s="31">
        <v>0.86734693877551017</v>
      </c>
      <c r="N113" s="11" t="s">
        <v>6</v>
      </c>
      <c r="O113" s="22">
        <v>98</v>
      </c>
      <c r="P113" s="1">
        <v>85</v>
      </c>
      <c r="Q113" t="s">
        <v>44</v>
      </c>
      <c r="R113" t="s">
        <v>40</v>
      </c>
    </row>
    <row r="114" spans="1:18" x14ac:dyDescent="0.25">
      <c r="A114" t="s">
        <v>264</v>
      </c>
      <c r="B114" t="s">
        <v>53</v>
      </c>
      <c r="C114" t="s">
        <v>48</v>
      </c>
      <c r="D114" s="1" t="s">
        <v>784</v>
      </c>
      <c r="E114" t="s">
        <v>1304</v>
      </c>
      <c r="F114" t="s">
        <v>87</v>
      </c>
      <c r="G114" t="s">
        <v>12</v>
      </c>
      <c r="H114" t="s">
        <v>1824</v>
      </c>
      <c r="I114" t="s">
        <v>42</v>
      </c>
      <c r="J114" t="s">
        <v>2344</v>
      </c>
      <c r="K114" t="s">
        <v>5</v>
      </c>
      <c r="L114" s="22">
        <v>9</v>
      </c>
      <c r="M114" s="30">
        <v>1</v>
      </c>
      <c r="N114" s="11" t="s">
        <v>5</v>
      </c>
      <c r="O114" s="1">
        <v>110</v>
      </c>
      <c r="P114" s="1">
        <v>110</v>
      </c>
      <c r="R114" t="s">
        <v>40</v>
      </c>
    </row>
    <row r="115" spans="1:18" x14ac:dyDescent="0.25">
      <c r="A115" t="s">
        <v>265</v>
      </c>
      <c r="B115" t="s">
        <v>112</v>
      </c>
      <c r="C115" t="s">
        <v>85</v>
      </c>
      <c r="D115" s="1" t="s">
        <v>785</v>
      </c>
      <c r="E115" t="s">
        <v>1305</v>
      </c>
      <c r="F115" t="s">
        <v>34</v>
      </c>
      <c r="G115" t="s">
        <v>12</v>
      </c>
      <c r="H115" t="s">
        <v>1825</v>
      </c>
      <c r="I115" t="s">
        <v>64</v>
      </c>
      <c r="J115" t="s">
        <v>2345</v>
      </c>
      <c r="K115" t="s">
        <v>5</v>
      </c>
      <c r="L115" s="22">
        <v>6</v>
      </c>
      <c r="M115" s="31">
        <v>0.15384615384615385</v>
      </c>
      <c r="N115" s="11" t="s">
        <v>6</v>
      </c>
      <c r="O115" s="22">
        <v>65</v>
      </c>
      <c r="P115" s="1">
        <v>10</v>
      </c>
      <c r="R115" t="s">
        <v>40</v>
      </c>
    </row>
    <row r="116" spans="1:18" x14ac:dyDescent="0.25">
      <c r="A116" t="s">
        <v>266</v>
      </c>
      <c r="B116" t="s">
        <v>88</v>
      </c>
      <c r="C116" t="s">
        <v>48</v>
      </c>
      <c r="D116" s="1" t="s">
        <v>786</v>
      </c>
      <c r="E116" t="s">
        <v>1306</v>
      </c>
      <c r="F116" t="s">
        <v>49</v>
      </c>
      <c r="G116" t="s">
        <v>12</v>
      </c>
      <c r="H116" t="s">
        <v>1826</v>
      </c>
      <c r="I116" t="s">
        <v>50</v>
      </c>
      <c r="J116" t="s">
        <v>2346</v>
      </c>
      <c r="K116" t="s">
        <v>5</v>
      </c>
      <c r="L116" s="22">
        <v>7</v>
      </c>
      <c r="M116" s="30">
        <v>1</v>
      </c>
      <c r="N116" s="11" t="s">
        <v>5</v>
      </c>
      <c r="O116" s="1">
        <v>74</v>
      </c>
      <c r="P116" s="1">
        <v>74</v>
      </c>
      <c r="R116" t="s">
        <v>40</v>
      </c>
    </row>
    <row r="117" spans="1:18" x14ac:dyDescent="0.25">
      <c r="A117" t="s">
        <v>267</v>
      </c>
      <c r="B117" t="s">
        <v>53</v>
      </c>
      <c r="C117" t="s">
        <v>48</v>
      </c>
      <c r="D117" s="1" t="s">
        <v>787</v>
      </c>
      <c r="E117" t="s">
        <v>1307</v>
      </c>
      <c r="F117" t="s">
        <v>34</v>
      </c>
      <c r="G117" t="s">
        <v>12</v>
      </c>
      <c r="H117" t="s">
        <v>1827</v>
      </c>
      <c r="I117" t="s">
        <v>54</v>
      </c>
      <c r="J117" t="s">
        <v>2347</v>
      </c>
      <c r="K117" t="s">
        <v>5</v>
      </c>
      <c r="L117" s="22">
        <v>7</v>
      </c>
      <c r="M117" s="30">
        <v>1</v>
      </c>
      <c r="N117" s="11" t="s">
        <v>5</v>
      </c>
      <c r="O117" s="1">
        <v>58</v>
      </c>
      <c r="P117" s="1">
        <v>58</v>
      </c>
      <c r="R117" t="s">
        <v>40</v>
      </c>
    </row>
    <row r="118" spans="1:18" x14ac:dyDescent="0.25">
      <c r="A118" t="s">
        <v>268</v>
      </c>
      <c r="B118" t="s">
        <v>62</v>
      </c>
      <c r="C118" t="s">
        <v>63</v>
      </c>
      <c r="D118" s="1" t="s">
        <v>788</v>
      </c>
      <c r="E118" t="s">
        <v>1308</v>
      </c>
      <c r="F118" t="s">
        <v>113</v>
      </c>
      <c r="G118" t="s">
        <v>12</v>
      </c>
      <c r="H118" t="s">
        <v>1828</v>
      </c>
      <c r="I118" t="s">
        <v>42</v>
      </c>
      <c r="J118" t="s">
        <v>2348</v>
      </c>
      <c r="K118" t="s">
        <v>5</v>
      </c>
      <c r="L118" s="22">
        <v>7</v>
      </c>
      <c r="M118" s="30">
        <v>1</v>
      </c>
      <c r="N118" s="11" t="s">
        <v>5</v>
      </c>
      <c r="O118" s="22">
        <v>99</v>
      </c>
      <c r="P118" s="1">
        <v>99</v>
      </c>
      <c r="Q118" t="s">
        <v>44</v>
      </c>
      <c r="R118" t="s">
        <v>40</v>
      </c>
    </row>
    <row r="119" spans="1:18" x14ac:dyDescent="0.25">
      <c r="A119" t="s">
        <v>269</v>
      </c>
      <c r="B119" t="s">
        <v>62</v>
      </c>
      <c r="C119" t="s">
        <v>63</v>
      </c>
      <c r="D119" s="1" t="s">
        <v>789</v>
      </c>
      <c r="E119" t="s">
        <v>1309</v>
      </c>
      <c r="F119" t="s">
        <v>114</v>
      </c>
      <c r="G119" t="s">
        <v>12</v>
      </c>
      <c r="H119" t="s">
        <v>1829</v>
      </c>
      <c r="I119" t="s">
        <v>52</v>
      </c>
      <c r="J119" t="s">
        <v>2349</v>
      </c>
      <c r="K119" t="s">
        <v>5</v>
      </c>
      <c r="L119" s="22">
        <v>7</v>
      </c>
      <c r="M119" s="30">
        <v>1</v>
      </c>
      <c r="N119" s="11" t="s">
        <v>5</v>
      </c>
      <c r="O119" s="1">
        <v>66</v>
      </c>
      <c r="P119" s="1">
        <v>66</v>
      </c>
      <c r="R119" t="s">
        <v>40</v>
      </c>
    </row>
    <row r="120" spans="1:18" x14ac:dyDescent="0.25">
      <c r="A120" t="s">
        <v>270</v>
      </c>
      <c r="B120" t="s">
        <v>62</v>
      </c>
      <c r="C120" t="s">
        <v>63</v>
      </c>
      <c r="D120" s="1" t="s">
        <v>790</v>
      </c>
      <c r="E120" t="s">
        <v>1310</v>
      </c>
      <c r="F120" t="s">
        <v>70</v>
      </c>
      <c r="G120" t="s">
        <v>12</v>
      </c>
      <c r="H120" t="s">
        <v>1830</v>
      </c>
      <c r="I120" t="s">
        <v>52</v>
      </c>
      <c r="J120" t="s">
        <v>2350</v>
      </c>
      <c r="K120" t="s">
        <v>5</v>
      </c>
      <c r="L120" s="22">
        <v>7</v>
      </c>
      <c r="M120" s="30">
        <v>0.22619047619047619</v>
      </c>
      <c r="N120" s="11" t="s">
        <v>6</v>
      </c>
      <c r="O120" s="1">
        <v>84</v>
      </c>
      <c r="P120" s="1">
        <v>19</v>
      </c>
      <c r="R120" t="s">
        <v>40</v>
      </c>
    </row>
    <row r="121" spans="1:18" x14ac:dyDescent="0.25">
      <c r="A121" t="s">
        <v>271</v>
      </c>
      <c r="B121" t="s">
        <v>51</v>
      </c>
      <c r="C121" t="s">
        <v>37</v>
      </c>
      <c r="D121" s="1" t="s">
        <v>791</v>
      </c>
      <c r="E121" t="s">
        <v>1311</v>
      </c>
      <c r="F121" t="s">
        <v>75</v>
      </c>
      <c r="G121" t="s">
        <v>12</v>
      </c>
      <c r="H121" t="s">
        <v>1831</v>
      </c>
      <c r="I121" t="s">
        <v>50</v>
      </c>
      <c r="J121" t="s">
        <v>2351</v>
      </c>
      <c r="K121" t="s">
        <v>5</v>
      </c>
      <c r="L121" s="22">
        <v>7</v>
      </c>
      <c r="M121" s="30">
        <v>0.23170731707317074</v>
      </c>
      <c r="N121" s="11" t="s">
        <v>6</v>
      </c>
      <c r="O121" s="1">
        <v>82</v>
      </c>
      <c r="P121" s="1">
        <v>19</v>
      </c>
    </row>
    <row r="122" spans="1:18" x14ac:dyDescent="0.25">
      <c r="A122" t="s">
        <v>272</v>
      </c>
      <c r="B122" t="s">
        <v>88</v>
      </c>
      <c r="C122" t="s">
        <v>48</v>
      </c>
      <c r="D122" s="1" t="s">
        <v>792</v>
      </c>
      <c r="E122" t="s">
        <v>1312</v>
      </c>
      <c r="F122" t="s">
        <v>75</v>
      </c>
      <c r="G122" t="s">
        <v>12</v>
      </c>
      <c r="H122" t="s">
        <v>1832</v>
      </c>
      <c r="I122" t="s">
        <v>50</v>
      </c>
      <c r="J122" t="s">
        <v>2352</v>
      </c>
      <c r="K122" t="s">
        <v>5</v>
      </c>
      <c r="L122" s="22">
        <v>7</v>
      </c>
      <c r="M122" s="30">
        <v>1</v>
      </c>
      <c r="N122" s="11" t="s">
        <v>5</v>
      </c>
      <c r="O122" s="1">
        <v>98</v>
      </c>
      <c r="P122" s="1">
        <v>98</v>
      </c>
    </row>
    <row r="123" spans="1:18" x14ac:dyDescent="0.25">
      <c r="A123" t="s">
        <v>273</v>
      </c>
      <c r="B123" t="s">
        <v>47</v>
      </c>
      <c r="C123" t="s">
        <v>48</v>
      </c>
      <c r="D123" s="1" t="s">
        <v>793</v>
      </c>
      <c r="E123" t="s">
        <v>1313</v>
      </c>
      <c r="F123" t="s">
        <v>70</v>
      </c>
      <c r="G123" t="s">
        <v>12</v>
      </c>
      <c r="H123" t="s">
        <v>1833</v>
      </c>
      <c r="I123" t="s">
        <v>54</v>
      </c>
      <c r="J123" t="s">
        <v>2353</v>
      </c>
      <c r="K123" t="s">
        <v>5</v>
      </c>
      <c r="L123" s="22">
        <v>7</v>
      </c>
      <c r="M123" s="31">
        <v>0.82758620689655171</v>
      </c>
      <c r="N123" s="11" t="s">
        <v>6</v>
      </c>
      <c r="O123" s="22">
        <v>58</v>
      </c>
      <c r="P123" s="1">
        <v>48</v>
      </c>
      <c r="R123" t="s">
        <v>40</v>
      </c>
    </row>
    <row r="124" spans="1:18" x14ac:dyDescent="0.25">
      <c r="A124" t="s">
        <v>274</v>
      </c>
      <c r="B124" t="s">
        <v>47</v>
      </c>
      <c r="C124" t="s">
        <v>48</v>
      </c>
      <c r="D124" s="1" t="s">
        <v>794</v>
      </c>
      <c r="E124" t="s">
        <v>1314</v>
      </c>
      <c r="F124" t="s">
        <v>43</v>
      </c>
      <c r="G124" t="s">
        <v>12</v>
      </c>
      <c r="H124" t="s">
        <v>1834</v>
      </c>
      <c r="I124" t="s">
        <v>72</v>
      </c>
      <c r="J124" t="s">
        <v>2354</v>
      </c>
      <c r="K124" t="s">
        <v>5</v>
      </c>
      <c r="L124" s="22">
        <v>9</v>
      </c>
      <c r="M124" s="31">
        <v>0.34166666666666667</v>
      </c>
      <c r="N124" s="11" t="s">
        <v>6</v>
      </c>
      <c r="O124" s="22">
        <v>120</v>
      </c>
      <c r="P124" s="1">
        <v>41</v>
      </c>
      <c r="R124" t="s">
        <v>40</v>
      </c>
    </row>
    <row r="125" spans="1:18" x14ac:dyDescent="0.25">
      <c r="A125" t="s">
        <v>275</v>
      </c>
      <c r="B125" t="s">
        <v>62</v>
      </c>
      <c r="C125" t="s">
        <v>63</v>
      </c>
      <c r="D125" s="1" t="s">
        <v>795</v>
      </c>
      <c r="E125" t="s">
        <v>1315</v>
      </c>
      <c r="F125" t="s">
        <v>43</v>
      </c>
      <c r="G125" t="s">
        <v>12</v>
      </c>
      <c r="H125" t="s">
        <v>1835</v>
      </c>
      <c r="I125" t="s">
        <v>72</v>
      </c>
      <c r="J125" t="s">
        <v>2355</v>
      </c>
      <c r="K125" t="s">
        <v>5</v>
      </c>
      <c r="L125" s="22">
        <v>7</v>
      </c>
      <c r="M125" s="31">
        <v>1</v>
      </c>
      <c r="N125" s="11" t="s">
        <v>5</v>
      </c>
      <c r="O125" s="22">
        <v>66</v>
      </c>
      <c r="P125" s="1">
        <v>66</v>
      </c>
      <c r="R125" t="s">
        <v>40</v>
      </c>
    </row>
    <row r="126" spans="1:18" x14ac:dyDescent="0.25">
      <c r="A126" t="s">
        <v>276</v>
      </c>
      <c r="B126" t="s">
        <v>115</v>
      </c>
      <c r="C126" t="s">
        <v>63</v>
      </c>
      <c r="D126" s="1" t="s">
        <v>796</v>
      </c>
      <c r="E126" t="s">
        <v>1316</v>
      </c>
      <c r="F126" t="s">
        <v>75</v>
      </c>
      <c r="G126" t="s">
        <v>8</v>
      </c>
      <c r="H126" t="s">
        <v>1836</v>
      </c>
      <c r="I126" t="s">
        <v>61</v>
      </c>
      <c r="J126" t="s">
        <v>2356</v>
      </c>
      <c r="K126" t="s">
        <v>5</v>
      </c>
      <c r="L126" s="22">
        <v>7</v>
      </c>
      <c r="M126" s="31">
        <v>1</v>
      </c>
      <c r="N126" s="11" t="s">
        <v>5</v>
      </c>
      <c r="O126" s="22">
        <v>52</v>
      </c>
      <c r="P126" s="1">
        <v>52</v>
      </c>
      <c r="R126" t="s">
        <v>40</v>
      </c>
    </row>
    <row r="127" spans="1:18" x14ac:dyDescent="0.25">
      <c r="A127" t="s">
        <v>277</v>
      </c>
      <c r="B127" t="s">
        <v>32</v>
      </c>
      <c r="C127" t="s">
        <v>33</v>
      </c>
      <c r="D127" s="1" t="s">
        <v>797</v>
      </c>
      <c r="E127" t="s">
        <v>1317</v>
      </c>
      <c r="F127" t="s">
        <v>34</v>
      </c>
      <c r="G127" t="s">
        <v>12</v>
      </c>
      <c r="H127" t="s">
        <v>1837</v>
      </c>
      <c r="I127" t="s">
        <v>116</v>
      </c>
      <c r="J127" t="s">
        <v>2357</v>
      </c>
      <c r="K127" t="s">
        <v>5</v>
      </c>
      <c r="L127" s="22">
        <v>7</v>
      </c>
      <c r="M127" s="30">
        <v>0.10714285714285714</v>
      </c>
      <c r="N127" s="11" t="s">
        <v>6</v>
      </c>
      <c r="O127" s="1">
        <v>84</v>
      </c>
      <c r="P127" s="1">
        <v>9</v>
      </c>
    </row>
    <row r="128" spans="1:18" x14ac:dyDescent="0.25">
      <c r="A128" t="s">
        <v>278</v>
      </c>
      <c r="B128" t="s">
        <v>51</v>
      </c>
      <c r="C128" t="s">
        <v>37</v>
      </c>
      <c r="D128" s="1" t="s">
        <v>798</v>
      </c>
      <c r="E128" t="s">
        <v>1318</v>
      </c>
      <c r="F128" t="s">
        <v>41</v>
      </c>
      <c r="G128" t="s">
        <v>12</v>
      </c>
      <c r="H128" t="s">
        <v>1838</v>
      </c>
      <c r="I128" t="s">
        <v>42</v>
      </c>
      <c r="J128" t="s">
        <v>2358</v>
      </c>
      <c r="K128" t="s">
        <v>5</v>
      </c>
      <c r="L128" s="22">
        <v>9</v>
      </c>
      <c r="M128" s="30">
        <v>1</v>
      </c>
      <c r="N128" s="11" t="s">
        <v>5</v>
      </c>
      <c r="O128" s="1">
        <v>70</v>
      </c>
      <c r="P128" s="1">
        <v>70</v>
      </c>
    </row>
    <row r="129" spans="1:18" x14ac:dyDescent="0.25">
      <c r="A129" t="s">
        <v>279</v>
      </c>
      <c r="B129" t="s">
        <v>117</v>
      </c>
      <c r="C129" t="s">
        <v>48</v>
      </c>
      <c r="D129" s="1" t="s">
        <v>799</v>
      </c>
      <c r="E129" t="s">
        <v>1319</v>
      </c>
      <c r="F129" t="s">
        <v>38</v>
      </c>
      <c r="G129" t="s">
        <v>12</v>
      </c>
      <c r="H129" t="s">
        <v>1839</v>
      </c>
      <c r="I129" t="s">
        <v>118</v>
      </c>
      <c r="J129" t="s">
        <v>2359</v>
      </c>
      <c r="K129" t="s">
        <v>5</v>
      </c>
      <c r="L129" s="22">
        <v>9</v>
      </c>
      <c r="M129" s="30">
        <v>0.10256410256410256</v>
      </c>
      <c r="N129" s="11" t="s">
        <v>6</v>
      </c>
      <c r="O129" s="1">
        <v>78</v>
      </c>
      <c r="P129" s="1">
        <v>8</v>
      </c>
    </row>
    <row r="130" spans="1:18" x14ac:dyDescent="0.25">
      <c r="A130" t="s">
        <v>280</v>
      </c>
      <c r="B130" t="s">
        <v>53</v>
      </c>
      <c r="C130" t="s">
        <v>48</v>
      </c>
      <c r="D130" s="1" t="s">
        <v>800</v>
      </c>
      <c r="E130" t="s">
        <v>1320</v>
      </c>
      <c r="F130" t="s">
        <v>34</v>
      </c>
      <c r="G130" t="s">
        <v>12</v>
      </c>
      <c r="H130" t="s">
        <v>1840</v>
      </c>
      <c r="I130" t="s">
        <v>50</v>
      </c>
      <c r="J130" t="s">
        <v>2360</v>
      </c>
      <c r="K130" t="s">
        <v>5</v>
      </c>
      <c r="L130" s="22">
        <v>9</v>
      </c>
      <c r="M130" s="31">
        <v>0.18333333333333332</v>
      </c>
      <c r="N130" s="11" t="s">
        <v>6</v>
      </c>
      <c r="O130" s="22">
        <v>120</v>
      </c>
      <c r="P130" s="1">
        <v>22</v>
      </c>
      <c r="R130" t="s">
        <v>40</v>
      </c>
    </row>
    <row r="131" spans="1:18" x14ac:dyDescent="0.25">
      <c r="A131" t="s">
        <v>281</v>
      </c>
      <c r="B131" t="s">
        <v>53</v>
      </c>
      <c r="C131" t="s">
        <v>48</v>
      </c>
      <c r="D131" s="1" t="s">
        <v>801</v>
      </c>
      <c r="E131" t="s">
        <v>1321</v>
      </c>
      <c r="F131" t="s">
        <v>34</v>
      </c>
      <c r="G131" t="s">
        <v>12</v>
      </c>
      <c r="H131" t="s">
        <v>1841</v>
      </c>
      <c r="I131" t="s">
        <v>54</v>
      </c>
      <c r="J131" t="s">
        <v>2361</v>
      </c>
      <c r="K131" t="s">
        <v>5</v>
      </c>
      <c r="L131" s="22">
        <v>7</v>
      </c>
      <c r="M131" s="30">
        <v>1</v>
      </c>
      <c r="N131" s="11" t="s">
        <v>5</v>
      </c>
      <c r="O131" s="1">
        <v>58</v>
      </c>
      <c r="P131" s="1">
        <v>58</v>
      </c>
      <c r="R131" t="s">
        <v>40</v>
      </c>
    </row>
    <row r="132" spans="1:18" x14ac:dyDescent="0.25">
      <c r="A132" t="s">
        <v>282</v>
      </c>
      <c r="B132" t="s">
        <v>56</v>
      </c>
      <c r="C132" t="s">
        <v>57</v>
      </c>
      <c r="D132" s="1" t="s">
        <v>802</v>
      </c>
      <c r="E132" t="s">
        <v>1322</v>
      </c>
      <c r="F132" t="s">
        <v>34</v>
      </c>
      <c r="G132" t="s">
        <v>12</v>
      </c>
      <c r="H132" t="s">
        <v>1842</v>
      </c>
      <c r="I132" t="s">
        <v>64</v>
      </c>
      <c r="J132" t="s">
        <v>2362</v>
      </c>
      <c r="K132" t="s">
        <v>5</v>
      </c>
      <c r="L132" s="22">
        <v>7</v>
      </c>
      <c r="M132" s="30">
        <v>1</v>
      </c>
      <c r="N132" s="11" t="s">
        <v>5</v>
      </c>
      <c r="O132" s="1">
        <v>118</v>
      </c>
      <c r="P132" s="1">
        <v>118</v>
      </c>
      <c r="R132" t="s">
        <v>40</v>
      </c>
    </row>
    <row r="133" spans="1:18" x14ac:dyDescent="0.25">
      <c r="A133" t="s">
        <v>283</v>
      </c>
      <c r="B133" t="s">
        <v>32</v>
      </c>
      <c r="C133" t="s">
        <v>33</v>
      </c>
      <c r="D133" s="1" t="s">
        <v>803</v>
      </c>
      <c r="E133" t="s">
        <v>1323</v>
      </c>
      <c r="F133" t="s">
        <v>49</v>
      </c>
      <c r="G133" t="s">
        <v>12</v>
      </c>
      <c r="H133" t="s">
        <v>1843</v>
      </c>
      <c r="I133" t="s">
        <v>42</v>
      </c>
      <c r="J133" t="s">
        <v>2363</v>
      </c>
      <c r="K133" t="s">
        <v>5</v>
      </c>
      <c r="L133" s="22">
        <v>7</v>
      </c>
      <c r="M133" s="30">
        <v>1</v>
      </c>
      <c r="N133" s="11" t="s">
        <v>5</v>
      </c>
      <c r="O133" s="22">
        <v>100</v>
      </c>
      <c r="P133" s="1">
        <v>100</v>
      </c>
      <c r="Q133" t="s">
        <v>44</v>
      </c>
      <c r="R133" t="s">
        <v>40</v>
      </c>
    </row>
    <row r="134" spans="1:18" x14ac:dyDescent="0.25">
      <c r="A134" t="s">
        <v>284</v>
      </c>
      <c r="B134" t="s">
        <v>67</v>
      </c>
      <c r="C134" t="s">
        <v>48</v>
      </c>
      <c r="D134" s="1" t="s">
        <v>804</v>
      </c>
      <c r="E134" t="s">
        <v>1324</v>
      </c>
      <c r="F134" t="s">
        <v>41</v>
      </c>
      <c r="G134" t="s">
        <v>12</v>
      </c>
      <c r="H134" t="s">
        <v>1844</v>
      </c>
      <c r="I134" t="s">
        <v>42</v>
      </c>
      <c r="J134" t="s">
        <v>2364</v>
      </c>
      <c r="K134" t="s">
        <v>5</v>
      </c>
      <c r="L134" s="22">
        <v>9</v>
      </c>
      <c r="M134" s="30">
        <v>1</v>
      </c>
      <c r="N134" s="11" t="s">
        <v>5</v>
      </c>
      <c r="O134" s="1">
        <v>87</v>
      </c>
      <c r="P134" s="1">
        <v>87</v>
      </c>
      <c r="R134" t="s">
        <v>40</v>
      </c>
    </row>
    <row r="135" spans="1:18" x14ac:dyDescent="0.25">
      <c r="A135" t="s">
        <v>285</v>
      </c>
      <c r="B135" t="s">
        <v>90</v>
      </c>
      <c r="C135" t="s">
        <v>91</v>
      </c>
      <c r="D135" s="1" t="s">
        <v>805</v>
      </c>
      <c r="E135" t="s">
        <v>1325</v>
      </c>
      <c r="F135" t="s">
        <v>75</v>
      </c>
      <c r="G135" t="s">
        <v>8</v>
      </c>
      <c r="H135" t="s">
        <v>1845</v>
      </c>
      <c r="I135" t="s">
        <v>61</v>
      </c>
      <c r="J135" t="s">
        <v>2365</v>
      </c>
      <c r="K135" t="s">
        <v>5</v>
      </c>
      <c r="L135" s="22">
        <v>7</v>
      </c>
      <c r="M135" s="30">
        <v>0.62068965517241381</v>
      </c>
      <c r="N135" s="11" t="s">
        <v>6</v>
      </c>
      <c r="O135" s="1">
        <v>58</v>
      </c>
      <c r="P135" s="1">
        <v>36</v>
      </c>
      <c r="R135" t="s">
        <v>40</v>
      </c>
    </row>
    <row r="136" spans="1:18" x14ac:dyDescent="0.25">
      <c r="A136" t="s">
        <v>286</v>
      </c>
      <c r="B136" t="s">
        <v>45</v>
      </c>
      <c r="C136" t="s">
        <v>37</v>
      </c>
      <c r="D136" s="1" t="s">
        <v>806</v>
      </c>
      <c r="E136" t="s">
        <v>1326</v>
      </c>
      <c r="F136" t="s">
        <v>34</v>
      </c>
      <c r="G136" t="s">
        <v>12</v>
      </c>
      <c r="H136" t="s">
        <v>1846</v>
      </c>
      <c r="I136" t="s">
        <v>64</v>
      </c>
      <c r="J136" t="s">
        <v>2366</v>
      </c>
      <c r="K136" t="s">
        <v>5</v>
      </c>
      <c r="L136" s="22">
        <v>9</v>
      </c>
      <c r="M136" s="27">
        <v>0.30232558139534882</v>
      </c>
      <c r="N136" s="22" t="s">
        <v>6</v>
      </c>
      <c r="O136" s="22">
        <v>86</v>
      </c>
      <c r="P136" s="22">
        <v>26</v>
      </c>
      <c r="Q136" t="s">
        <v>44</v>
      </c>
      <c r="R136" t="s">
        <v>40</v>
      </c>
    </row>
    <row r="137" spans="1:18" x14ac:dyDescent="0.25">
      <c r="A137" t="s">
        <v>287</v>
      </c>
      <c r="B137" t="s">
        <v>53</v>
      </c>
      <c r="C137" t="s">
        <v>48</v>
      </c>
      <c r="D137" s="1" t="s">
        <v>807</v>
      </c>
      <c r="E137" t="s">
        <v>1327</v>
      </c>
      <c r="F137" t="s">
        <v>34</v>
      </c>
      <c r="G137" t="s">
        <v>12</v>
      </c>
      <c r="H137" t="s">
        <v>1847</v>
      </c>
      <c r="I137" t="s">
        <v>54</v>
      </c>
      <c r="J137" t="s">
        <v>2367</v>
      </c>
      <c r="K137" t="s">
        <v>5</v>
      </c>
      <c r="L137" s="22">
        <v>7</v>
      </c>
      <c r="M137" s="30">
        <v>0.25</v>
      </c>
      <c r="N137" s="11" t="s">
        <v>6</v>
      </c>
      <c r="O137" s="1">
        <v>64</v>
      </c>
      <c r="P137" s="1">
        <v>16</v>
      </c>
      <c r="R137" t="s">
        <v>40</v>
      </c>
    </row>
    <row r="138" spans="1:18" x14ac:dyDescent="0.25">
      <c r="A138" t="s">
        <v>288</v>
      </c>
      <c r="B138" t="s">
        <v>32</v>
      </c>
      <c r="C138" t="s">
        <v>33</v>
      </c>
      <c r="D138" s="1" t="s">
        <v>808</v>
      </c>
      <c r="E138" t="s">
        <v>1328</v>
      </c>
      <c r="F138" t="s">
        <v>43</v>
      </c>
      <c r="G138" t="s">
        <v>12</v>
      </c>
      <c r="H138" t="s">
        <v>1848</v>
      </c>
      <c r="I138" t="s">
        <v>55</v>
      </c>
      <c r="J138" t="s">
        <v>2368</v>
      </c>
      <c r="K138" t="s">
        <v>5</v>
      </c>
      <c r="L138" s="22">
        <v>0</v>
      </c>
      <c r="M138" s="27">
        <v>0.5357142857142857</v>
      </c>
      <c r="N138" s="22" t="s">
        <v>6</v>
      </c>
      <c r="O138" s="22">
        <v>84</v>
      </c>
      <c r="P138" s="22">
        <v>45</v>
      </c>
      <c r="Q138" t="s">
        <v>44</v>
      </c>
      <c r="R138" t="s">
        <v>40</v>
      </c>
    </row>
    <row r="139" spans="1:18" x14ac:dyDescent="0.25">
      <c r="A139" t="s">
        <v>289</v>
      </c>
      <c r="B139" t="s">
        <v>47</v>
      </c>
      <c r="C139" t="s">
        <v>48</v>
      </c>
      <c r="D139" s="1" t="s">
        <v>809</v>
      </c>
      <c r="E139" t="s">
        <v>1329</v>
      </c>
      <c r="F139" t="s">
        <v>43</v>
      </c>
      <c r="G139" t="s">
        <v>12</v>
      </c>
      <c r="H139" t="s">
        <v>1849</v>
      </c>
      <c r="I139" t="s">
        <v>35</v>
      </c>
      <c r="J139" t="s">
        <v>2369</v>
      </c>
      <c r="K139" t="s">
        <v>5</v>
      </c>
      <c r="L139" s="22">
        <v>7</v>
      </c>
      <c r="M139" s="31">
        <v>1</v>
      </c>
      <c r="N139" s="11" t="s">
        <v>5</v>
      </c>
      <c r="O139" s="22">
        <v>50</v>
      </c>
      <c r="P139" s="1">
        <v>50</v>
      </c>
      <c r="R139" t="s">
        <v>40</v>
      </c>
    </row>
    <row r="140" spans="1:18" x14ac:dyDescent="0.25">
      <c r="A140" t="s">
        <v>290</v>
      </c>
      <c r="B140" t="s">
        <v>67</v>
      </c>
      <c r="C140" t="s">
        <v>48</v>
      </c>
      <c r="D140" s="1" t="s">
        <v>810</v>
      </c>
      <c r="E140" t="s">
        <v>1330</v>
      </c>
      <c r="F140" t="s">
        <v>41</v>
      </c>
      <c r="G140" t="s">
        <v>12</v>
      </c>
      <c r="H140" t="s">
        <v>1850</v>
      </c>
      <c r="I140" t="s">
        <v>35</v>
      </c>
      <c r="J140" t="s">
        <v>2370</v>
      </c>
      <c r="K140" t="s">
        <v>5</v>
      </c>
      <c r="L140" s="22">
        <v>9</v>
      </c>
      <c r="M140" s="30">
        <v>0.45714285714285713</v>
      </c>
      <c r="N140" s="11" t="s">
        <v>6</v>
      </c>
      <c r="O140" s="1">
        <v>70</v>
      </c>
      <c r="P140" s="1">
        <v>32</v>
      </c>
    </row>
    <row r="141" spans="1:18" x14ac:dyDescent="0.25">
      <c r="A141" t="s">
        <v>291</v>
      </c>
      <c r="B141" t="s">
        <v>83</v>
      </c>
      <c r="C141" t="s">
        <v>57</v>
      </c>
      <c r="D141" s="1" t="s">
        <v>811</v>
      </c>
      <c r="E141" t="s">
        <v>1331</v>
      </c>
      <c r="F141" t="s">
        <v>75</v>
      </c>
      <c r="G141" t="s">
        <v>11</v>
      </c>
      <c r="H141" t="s">
        <v>1851</v>
      </c>
      <c r="I141" t="s">
        <v>46</v>
      </c>
      <c r="J141" t="s">
        <v>2371</v>
      </c>
      <c r="K141" t="s">
        <v>5</v>
      </c>
      <c r="L141" s="22">
        <v>7</v>
      </c>
      <c r="M141" s="30">
        <v>1</v>
      </c>
      <c r="N141" s="11" t="s">
        <v>5</v>
      </c>
      <c r="O141" s="1">
        <v>78</v>
      </c>
      <c r="P141" s="1">
        <v>78</v>
      </c>
    </row>
    <row r="142" spans="1:18" x14ac:dyDescent="0.25">
      <c r="A142" t="s">
        <v>292</v>
      </c>
      <c r="B142" t="s">
        <v>67</v>
      </c>
      <c r="C142" t="s">
        <v>48</v>
      </c>
      <c r="D142" s="1" t="s">
        <v>812</v>
      </c>
      <c r="E142" t="s">
        <v>1332</v>
      </c>
      <c r="F142" t="s">
        <v>41</v>
      </c>
      <c r="G142" t="s">
        <v>12</v>
      </c>
      <c r="H142" t="s">
        <v>1852</v>
      </c>
      <c r="I142" t="s">
        <v>64</v>
      </c>
      <c r="J142" t="s">
        <v>2372</v>
      </c>
      <c r="K142" t="s">
        <v>5</v>
      </c>
      <c r="L142" s="22">
        <v>7</v>
      </c>
      <c r="M142" s="30">
        <v>1</v>
      </c>
      <c r="N142" s="11" t="s">
        <v>5</v>
      </c>
      <c r="O142" s="1">
        <v>66</v>
      </c>
      <c r="P142" s="1">
        <v>66</v>
      </c>
      <c r="R142" t="s">
        <v>40</v>
      </c>
    </row>
    <row r="143" spans="1:18" x14ac:dyDescent="0.25">
      <c r="A143" t="s">
        <v>293</v>
      </c>
      <c r="B143" t="s">
        <v>119</v>
      </c>
      <c r="C143" t="s">
        <v>48</v>
      </c>
      <c r="D143" s="1" t="s">
        <v>813</v>
      </c>
      <c r="E143" t="s">
        <v>1333</v>
      </c>
      <c r="F143" t="s">
        <v>41</v>
      </c>
      <c r="G143" t="s">
        <v>12</v>
      </c>
      <c r="H143" t="s">
        <v>1853</v>
      </c>
      <c r="I143" t="s">
        <v>72</v>
      </c>
      <c r="J143" t="s">
        <v>2373</v>
      </c>
      <c r="K143" t="s">
        <v>5</v>
      </c>
      <c r="L143" s="22">
        <v>9</v>
      </c>
      <c r="M143" s="31">
        <v>0.66666666666666663</v>
      </c>
      <c r="N143" s="11" t="s">
        <v>6</v>
      </c>
      <c r="O143" s="22">
        <v>78</v>
      </c>
      <c r="P143" s="1">
        <v>52</v>
      </c>
      <c r="R143" t="s">
        <v>40</v>
      </c>
    </row>
    <row r="144" spans="1:18" x14ac:dyDescent="0.25">
      <c r="A144" t="s">
        <v>294</v>
      </c>
      <c r="B144" t="s">
        <v>62</v>
      </c>
      <c r="C144" t="s">
        <v>63</v>
      </c>
      <c r="D144" s="1" t="s">
        <v>814</v>
      </c>
      <c r="E144" t="s">
        <v>1334</v>
      </c>
      <c r="F144" t="s">
        <v>75</v>
      </c>
      <c r="G144" t="s">
        <v>12</v>
      </c>
      <c r="H144" t="s">
        <v>1854</v>
      </c>
      <c r="I144" t="s">
        <v>42</v>
      </c>
      <c r="J144" t="s">
        <v>2374</v>
      </c>
      <c r="K144" t="s">
        <v>5</v>
      </c>
      <c r="L144" s="22">
        <v>7</v>
      </c>
      <c r="M144" s="30">
        <v>1</v>
      </c>
      <c r="N144" s="11" t="s">
        <v>5</v>
      </c>
      <c r="O144" s="1">
        <v>98</v>
      </c>
      <c r="P144" s="1">
        <v>98</v>
      </c>
    </row>
    <row r="145" spans="1:18" x14ac:dyDescent="0.25">
      <c r="A145" t="s">
        <v>295</v>
      </c>
      <c r="B145" t="s">
        <v>67</v>
      </c>
      <c r="C145" t="s">
        <v>48</v>
      </c>
      <c r="D145" s="1" t="s">
        <v>815</v>
      </c>
      <c r="E145" t="s">
        <v>1335</v>
      </c>
      <c r="F145" t="s">
        <v>82</v>
      </c>
      <c r="G145" t="s">
        <v>12</v>
      </c>
      <c r="H145" t="s">
        <v>1855</v>
      </c>
      <c r="I145" t="s">
        <v>35</v>
      </c>
      <c r="J145" t="s">
        <v>2375</v>
      </c>
      <c r="K145" t="s">
        <v>5</v>
      </c>
      <c r="L145" s="22">
        <v>9</v>
      </c>
      <c r="M145" s="30">
        <v>0.47008547008547008</v>
      </c>
      <c r="N145" s="11" t="s">
        <v>6</v>
      </c>
      <c r="O145" s="22">
        <v>117</v>
      </c>
      <c r="P145" s="1">
        <v>55</v>
      </c>
      <c r="Q145" t="s">
        <v>44</v>
      </c>
      <c r="R145" t="s">
        <v>40</v>
      </c>
    </row>
    <row r="146" spans="1:18" x14ac:dyDescent="0.25">
      <c r="A146" t="s">
        <v>296</v>
      </c>
      <c r="B146" t="s">
        <v>98</v>
      </c>
      <c r="C146" t="s">
        <v>74</v>
      </c>
      <c r="D146" s="1" t="s">
        <v>816</v>
      </c>
      <c r="E146" t="s">
        <v>1336</v>
      </c>
      <c r="F146" t="s">
        <v>75</v>
      </c>
      <c r="G146" t="s">
        <v>8</v>
      </c>
      <c r="H146" t="s">
        <v>1856</v>
      </c>
      <c r="I146" t="s">
        <v>92</v>
      </c>
      <c r="J146" t="s">
        <v>2376</v>
      </c>
      <c r="K146" t="s">
        <v>5</v>
      </c>
      <c r="L146" s="22">
        <v>9</v>
      </c>
      <c r="M146" s="31">
        <v>1</v>
      </c>
      <c r="N146" s="11" t="s">
        <v>5</v>
      </c>
      <c r="O146" s="22">
        <v>80</v>
      </c>
      <c r="P146" s="1">
        <v>80</v>
      </c>
      <c r="R146" t="s">
        <v>40</v>
      </c>
    </row>
    <row r="147" spans="1:18" x14ac:dyDescent="0.25">
      <c r="A147" t="s">
        <v>297</v>
      </c>
      <c r="B147" t="s">
        <v>88</v>
      </c>
      <c r="C147" t="s">
        <v>48</v>
      </c>
      <c r="D147" s="1" t="s">
        <v>817</v>
      </c>
      <c r="E147" t="s">
        <v>1337</v>
      </c>
      <c r="F147" t="s">
        <v>49</v>
      </c>
      <c r="G147" t="s">
        <v>12</v>
      </c>
      <c r="H147" t="s">
        <v>1857</v>
      </c>
      <c r="I147" t="s">
        <v>50</v>
      </c>
      <c r="J147" t="s">
        <v>2377</v>
      </c>
      <c r="K147" t="s">
        <v>5</v>
      </c>
      <c r="L147" s="22">
        <v>9</v>
      </c>
      <c r="M147" s="30">
        <v>1</v>
      </c>
      <c r="N147" s="11" t="s">
        <v>5</v>
      </c>
      <c r="O147" s="22">
        <v>94</v>
      </c>
      <c r="P147" s="1">
        <v>94</v>
      </c>
      <c r="R147" t="s">
        <v>40</v>
      </c>
    </row>
    <row r="148" spans="1:18" x14ac:dyDescent="0.25">
      <c r="A148" t="s">
        <v>298</v>
      </c>
      <c r="B148" t="s">
        <v>51</v>
      </c>
      <c r="C148" t="s">
        <v>37</v>
      </c>
      <c r="D148" s="1" t="s">
        <v>818</v>
      </c>
      <c r="E148" t="s">
        <v>1338</v>
      </c>
      <c r="F148" t="s">
        <v>120</v>
      </c>
      <c r="G148" t="s">
        <v>12</v>
      </c>
      <c r="H148" t="s">
        <v>1858</v>
      </c>
      <c r="I148" t="s">
        <v>121</v>
      </c>
      <c r="J148" t="s">
        <v>2378</v>
      </c>
      <c r="K148" t="s">
        <v>5</v>
      </c>
      <c r="L148" s="22">
        <v>7</v>
      </c>
      <c r="M148" s="30">
        <v>1</v>
      </c>
      <c r="N148" s="11" t="s">
        <v>5</v>
      </c>
      <c r="O148" s="1">
        <v>104</v>
      </c>
      <c r="P148" s="1">
        <v>104</v>
      </c>
    </row>
    <row r="149" spans="1:18" x14ac:dyDescent="0.25">
      <c r="A149" t="s">
        <v>299</v>
      </c>
      <c r="B149" t="s">
        <v>53</v>
      </c>
      <c r="C149" t="s">
        <v>48</v>
      </c>
      <c r="D149" s="1" t="s">
        <v>819</v>
      </c>
      <c r="E149" t="s">
        <v>1339</v>
      </c>
      <c r="F149" t="s">
        <v>69</v>
      </c>
      <c r="G149" t="s">
        <v>12</v>
      </c>
      <c r="H149" t="s">
        <v>1859</v>
      </c>
      <c r="I149" t="s">
        <v>54</v>
      </c>
      <c r="J149" t="s">
        <v>2379</v>
      </c>
      <c r="K149" t="s">
        <v>5</v>
      </c>
      <c r="L149" s="22">
        <v>9</v>
      </c>
      <c r="M149" s="30">
        <v>1</v>
      </c>
      <c r="N149" s="11" t="s">
        <v>5</v>
      </c>
      <c r="O149" s="1">
        <v>106</v>
      </c>
      <c r="P149" s="1">
        <v>106</v>
      </c>
    </row>
    <row r="150" spans="1:18" x14ac:dyDescent="0.25">
      <c r="A150" t="s">
        <v>300</v>
      </c>
      <c r="B150" t="s">
        <v>53</v>
      </c>
      <c r="C150" t="s">
        <v>48</v>
      </c>
      <c r="D150" s="1" t="s">
        <v>820</v>
      </c>
      <c r="E150" t="s">
        <v>1340</v>
      </c>
      <c r="F150" t="s">
        <v>69</v>
      </c>
      <c r="G150" t="s">
        <v>12</v>
      </c>
      <c r="H150" t="s">
        <v>1860</v>
      </c>
      <c r="I150" t="s">
        <v>54</v>
      </c>
      <c r="J150" t="s">
        <v>2380</v>
      </c>
      <c r="K150" t="s">
        <v>5</v>
      </c>
      <c r="L150" s="22">
        <v>9</v>
      </c>
      <c r="M150" s="30">
        <v>1</v>
      </c>
      <c r="N150" s="11" t="s">
        <v>5</v>
      </c>
      <c r="O150" s="1">
        <v>106</v>
      </c>
      <c r="P150" s="1">
        <v>106</v>
      </c>
    </row>
    <row r="151" spans="1:18" x14ac:dyDescent="0.25">
      <c r="A151" t="s">
        <v>301</v>
      </c>
      <c r="B151" t="s">
        <v>53</v>
      </c>
      <c r="C151" t="s">
        <v>48</v>
      </c>
      <c r="D151" s="1" t="s">
        <v>821</v>
      </c>
      <c r="E151" t="s">
        <v>1341</v>
      </c>
      <c r="F151" t="s">
        <v>69</v>
      </c>
      <c r="G151" t="s">
        <v>12</v>
      </c>
      <c r="H151" t="s">
        <v>1861</v>
      </c>
      <c r="I151" t="s">
        <v>54</v>
      </c>
      <c r="J151" t="s">
        <v>2381</v>
      </c>
      <c r="K151" t="s">
        <v>5</v>
      </c>
      <c r="L151" s="22">
        <v>9</v>
      </c>
      <c r="M151" s="30">
        <v>1</v>
      </c>
      <c r="N151" s="11" t="s">
        <v>5</v>
      </c>
      <c r="O151" s="1">
        <v>94</v>
      </c>
      <c r="P151" s="1">
        <v>94</v>
      </c>
    </row>
    <row r="152" spans="1:18" x14ac:dyDescent="0.25">
      <c r="A152" t="s">
        <v>302</v>
      </c>
      <c r="B152" t="s">
        <v>45</v>
      </c>
      <c r="C152" t="s">
        <v>37</v>
      </c>
      <c r="D152" s="1" t="s">
        <v>822</v>
      </c>
      <c r="E152" t="s">
        <v>1342</v>
      </c>
      <c r="F152" t="s">
        <v>43</v>
      </c>
      <c r="G152" t="s">
        <v>11</v>
      </c>
      <c r="H152" t="s">
        <v>1862</v>
      </c>
      <c r="I152" t="s">
        <v>46</v>
      </c>
      <c r="J152" t="s">
        <v>2382</v>
      </c>
      <c r="K152" t="s">
        <v>5</v>
      </c>
      <c r="L152" s="22">
        <v>7</v>
      </c>
      <c r="M152" s="30">
        <v>1</v>
      </c>
      <c r="N152" s="11" t="s">
        <v>5</v>
      </c>
      <c r="O152" s="1">
        <v>62</v>
      </c>
      <c r="P152" s="1">
        <v>62</v>
      </c>
      <c r="R152" t="s">
        <v>40</v>
      </c>
    </row>
    <row r="153" spans="1:18" x14ac:dyDescent="0.25">
      <c r="A153" t="s">
        <v>303</v>
      </c>
      <c r="B153" t="s">
        <v>47</v>
      </c>
      <c r="C153" t="s">
        <v>48</v>
      </c>
      <c r="D153" s="1" t="s">
        <v>823</v>
      </c>
      <c r="E153" t="s">
        <v>1343</v>
      </c>
      <c r="F153" t="s">
        <v>43</v>
      </c>
      <c r="G153" t="s">
        <v>12</v>
      </c>
      <c r="H153" t="s">
        <v>1863</v>
      </c>
      <c r="I153" t="s">
        <v>35</v>
      </c>
      <c r="J153" t="s">
        <v>2383</v>
      </c>
      <c r="K153" t="s">
        <v>5</v>
      </c>
      <c r="L153" s="22">
        <v>7</v>
      </c>
      <c r="M153" s="31">
        <v>1</v>
      </c>
      <c r="N153" s="11" t="s">
        <v>5</v>
      </c>
      <c r="O153" s="22">
        <v>62</v>
      </c>
      <c r="P153" s="1">
        <v>62</v>
      </c>
      <c r="R153" t="s">
        <v>40</v>
      </c>
    </row>
    <row r="154" spans="1:18" x14ac:dyDescent="0.25">
      <c r="A154" t="s">
        <v>304</v>
      </c>
      <c r="B154" t="s">
        <v>56</v>
      </c>
      <c r="C154" t="s">
        <v>57</v>
      </c>
      <c r="D154" s="1" t="s">
        <v>824</v>
      </c>
      <c r="E154" t="s">
        <v>1344</v>
      </c>
      <c r="F154" t="s">
        <v>34</v>
      </c>
      <c r="G154" t="s">
        <v>12</v>
      </c>
      <c r="H154" t="s">
        <v>1864</v>
      </c>
      <c r="I154" t="s">
        <v>50</v>
      </c>
      <c r="J154" t="s">
        <v>2384</v>
      </c>
      <c r="K154" t="s">
        <v>5</v>
      </c>
      <c r="L154" s="22">
        <v>9</v>
      </c>
      <c r="M154" s="30">
        <v>1</v>
      </c>
      <c r="N154" s="11" t="s">
        <v>5</v>
      </c>
      <c r="O154" s="1">
        <v>114</v>
      </c>
      <c r="P154" s="1">
        <v>114</v>
      </c>
      <c r="R154" t="s">
        <v>40</v>
      </c>
    </row>
    <row r="155" spans="1:18" x14ac:dyDescent="0.25">
      <c r="A155" t="s">
        <v>305</v>
      </c>
      <c r="B155" t="s">
        <v>56</v>
      </c>
      <c r="C155" t="s">
        <v>57</v>
      </c>
      <c r="D155" s="1" t="s">
        <v>825</v>
      </c>
      <c r="E155" t="s">
        <v>1345</v>
      </c>
      <c r="F155" t="s">
        <v>34</v>
      </c>
      <c r="G155" t="s">
        <v>12</v>
      </c>
      <c r="H155" t="s">
        <v>1865</v>
      </c>
      <c r="I155" t="s">
        <v>42</v>
      </c>
      <c r="J155" t="s">
        <v>2385</v>
      </c>
      <c r="K155" t="s">
        <v>5</v>
      </c>
      <c r="L155" s="22">
        <v>9</v>
      </c>
      <c r="M155" s="30">
        <v>1</v>
      </c>
      <c r="N155" s="11" t="s">
        <v>5</v>
      </c>
      <c r="O155" s="22">
        <v>120</v>
      </c>
      <c r="P155" s="1">
        <v>120</v>
      </c>
      <c r="R155" t="s">
        <v>40</v>
      </c>
    </row>
    <row r="156" spans="1:18" x14ac:dyDescent="0.25">
      <c r="A156" t="s">
        <v>306</v>
      </c>
      <c r="B156" t="s">
        <v>78</v>
      </c>
      <c r="C156" t="s">
        <v>79</v>
      </c>
      <c r="D156" s="1" t="s">
        <v>826</v>
      </c>
      <c r="E156" t="s">
        <v>1346</v>
      </c>
      <c r="F156" t="s">
        <v>75</v>
      </c>
      <c r="G156" t="s">
        <v>11</v>
      </c>
      <c r="H156" t="s">
        <v>1866</v>
      </c>
      <c r="I156" t="s">
        <v>46</v>
      </c>
      <c r="J156" t="s">
        <v>2386</v>
      </c>
      <c r="K156" t="s">
        <v>5</v>
      </c>
      <c r="L156" s="22">
        <v>5</v>
      </c>
      <c r="M156" s="30">
        <v>1</v>
      </c>
      <c r="N156" s="11" t="s">
        <v>5</v>
      </c>
      <c r="O156" s="1">
        <v>62</v>
      </c>
      <c r="P156" s="1">
        <v>62</v>
      </c>
    </row>
    <row r="157" spans="1:18" x14ac:dyDescent="0.25">
      <c r="A157" t="s">
        <v>307</v>
      </c>
      <c r="B157" t="s">
        <v>32</v>
      </c>
      <c r="C157" t="s">
        <v>33</v>
      </c>
      <c r="D157" s="1" t="s">
        <v>827</v>
      </c>
      <c r="E157" t="s">
        <v>1347</v>
      </c>
      <c r="F157" t="s">
        <v>34</v>
      </c>
      <c r="G157" t="s">
        <v>12</v>
      </c>
      <c r="H157" t="s">
        <v>1867</v>
      </c>
      <c r="I157" t="s">
        <v>71</v>
      </c>
      <c r="J157" t="s">
        <v>2387</v>
      </c>
      <c r="K157" t="s">
        <v>5</v>
      </c>
      <c r="L157" s="22">
        <v>7</v>
      </c>
      <c r="M157" s="30">
        <v>0.36585365853658536</v>
      </c>
      <c r="N157" s="11" t="s">
        <v>6</v>
      </c>
      <c r="O157" s="1">
        <v>82</v>
      </c>
      <c r="P157" s="1">
        <v>30</v>
      </c>
      <c r="R157" t="s">
        <v>40</v>
      </c>
    </row>
    <row r="158" spans="1:18" x14ac:dyDescent="0.25">
      <c r="A158" t="s">
        <v>308</v>
      </c>
      <c r="B158" t="s">
        <v>53</v>
      </c>
      <c r="C158" t="s">
        <v>48</v>
      </c>
      <c r="D158" s="1" t="s">
        <v>828</v>
      </c>
      <c r="E158" t="s">
        <v>1348</v>
      </c>
      <c r="F158" t="s">
        <v>70</v>
      </c>
      <c r="G158" t="s">
        <v>12</v>
      </c>
      <c r="H158" t="s">
        <v>1868</v>
      </c>
      <c r="I158" t="s">
        <v>95</v>
      </c>
      <c r="J158" t="s">
        <v>2388</v>
      </c>
      <c r="K158" t="s">
        <v>5</v>
      </c>
      <c r="L158" s="22">
        <v>9</v>
      </c>
      <c r="M158" s="31">
        <v>0.19047619047619047</v>
      </c>
      <c r="N158" s="11" t="s">
        <v>6</v>
      </c>
      <c r="O158" s="22">
        <v>84</v>
      </c>
      <c r="P158" s="1">
        <v>16</v>
      </c>
      <c r="R158" t="s">
        <v>40</v>
      </c>
    </row>
    <row r="159" spans="1:18" x14ac:dyDescent="0.25">
      <c r="A159" t="s">
        <v>309</v>
      </c>
      <c r="B159" t="s">
        <v>53</v>
      </c>
      <c r="C159" t="s">
        <v>48</v>
      </c>
      <c r="D159" s="1" t="s">
        <v>829</v>
      </c>
      <c r="E159" t="s">
        <v>1349</v>
      </c>
      <c r="F159" t="s">
        <v>34</v>
      </c>
      <c r="G159" t="s">
        <v>12</v>
      </c>
      <c r="H159" t="s">
        <v>1869</v>
      </c>
      <c r="I159" t="s">
        <v>68</v>
      </c>
      <c r="J159" t="s">
        <v>2389</v>
      </c>
      <c r="K159" t="s">
        <v>5</v>
      </c>
      <c r="L159" s="22">
        <v>9</v>
      </c>
      <c r="M159" s="31">
        <v>0.375</v>
      </c>
      <c r="N159" s="11" t="s">
        <v>6</v>
      </c>
      <c r="O159" s="22">
        <v>80</v>
      </c>
      <c r="P159" s="1">
        <v>30</v>
      </c>
      <c r="R159" t="s">
        <v>40</v>
      </c>
    </row>
    <row r="160" spans="1:18" x14ac:dyDescent="0.25">
      <c r="A160" t="s">
        <v>310</v>
      </c>
      <c r="B160" t="s">
        <v>32</v>
      </c>
      <c r="C160" t="s">
        <v>33</v>
      </c>
      <c r="D160" s="1" t="s">
        <v>830</v>
      </c>
      <c r="E160" t="s">
        <v>1350</v>
      </c>
      <c r="F160" t="s">
        <v>34</v>
      </c>
      <c r="G160" t="s">
        <v>12</v>
      </c>
      <c r="H160" t="s">
        <v>1870</v>
      </c>
      <c r="I160" t="s">
        <v>42</v>
      </c>
      <c r="J160" t="s">
        <v>2390</v>
      </c>
      <c r="K160" t="s">
        <v>5</v>
      </c>
      <c r="L160" s="22">
        <v>7</v>
      </c>
      <c r="M160" s="30">
        <v>1</v>
      </c>
      <c r="N160" s="11" t="s">
        <v>5</v>
      </c>
      <c r="O160" s="1">
        <v>82</v>
      </c>
      <c r="P160" s="1">
        <v>82</v>
      </c>
    </row>
    <row r="161" spans="1:18" x14ac:dyDescent="0.25">
      <c r="A161" t="s">
        <v>311</v>
      </c>
      <c r="B161" t="s">
        <v>88</v>
      </c>
      <c r="C161" t="s">
        <v>48</v>
      </c>
      <c r="D161" s="1" t="s">
        <v>831</v>
      </c>
      <c r="E161" t="s">
        <v>1351</v>
      </c>
      <c r="F161" t="s">
        <v>34</v>
      </c>
      <c r="G161" t="s">
        <v>12</v>
      </c>
      <c r="H161" t="s">
        <v>1871</v>
      </c>
      <c r="I161" t="s">
        <v>42</v>
      </c>
      <c r="J161" t="s">
        <v>2391</v>
      </c>
      <c r="K161" t="s">
        <v>5</v>
      </c>
      <c r="L161" s="22">
        <v>7</v>
      </c>
      <c r="M161" s="30">
        <v>1</v>
      </c>
      <c r="N161" s="11" t="s">
        <v>5</v>
      </c>
      <c r="O161" s="1">
        <v>50</v>
      </c>
      <c r="P161" s="1">
        <v>50</v>
      </c>
    </row>
    <row r="162" spans="1:18" x14ac:dyDescent="0.25">
      <c r="A162" t="s">
        <v>312</v>
      </c>
      <c r="B162" t="s">
        <v>122</v>
      </c>
      <c r="C162" t="s">
        <v>33</v>
      </c>
      <c r="D162" s="1" t="s">
        <v>832</v>
      </c>
      <c r="E162" t="s">
        <v>1352</v>
      </c>
      <c r="F162" t="s">
        <v>34</v>
      </c>
      <c r="G162" t="s">
        <v>12</v>
      </c>
      <c r="H162" t="s">
        <v>1872</v>
      </c>
      <c r="I162" t="s">
        <v>95</v>
      </c>
      <c r="J162" t="s">
        <v>2392</v>
      </c>
      <c r="K162" t="s">
        <v>5</v>
      </c>
      <c r="L162" s="22">
        <v>7</v>
      </c>
      <c r="M162" s="30">
        <v>1</v>
      </c>
      <c r="N162" s="11" t="s">
        <v>5</v>
      </c>
      <c r="O162" s="1">
        <v>84</v>
      </c>
      <c r="P162" s="1">
        <v>84</v>
      </c>
    </row>
    <row r="163" spans="1:18" x14ac:dyDescent="0.25">
      <c r="A163" t="s">
        <v>313</v>
      </c>
      <c r="B163" t="s">
        <v>60</v>
      </c>
      <c r="C163" t="s">
        <v>37</v>
      </c>
      <c r="D163" s="1" t="s">
        <v>833</v>
      </c>
      <c r="E163" t="s">
        <v>1353</v>
      </c>
      <c r="F163" t="s">
        <v>34</v>
      </c>
      <c r="G163" t="s">
        <v>8</v>
      </c>
      <c r="H163" t="s">
        <v>1873</v>
      </c>
      <c r="I163" t="s">
        <v>61</v>
      </c>
      <c r="J163" t="s">
        <v>2393</v>
      </c>
      <c r="K163" t="s">
        <v>5</v>
      </c>
      <c r="L163" s="22">
        <v>7</v>
      </c>
      <c r="M163" s="31">
        <v>1</v>
      </c>
      <c r="N163" s="11" t="s">
        <v>5</v>
      </c>
      <c r="O163" s="22">
        <v>62</v>
      </c>
      <c r="P163" s="1">
        <v>62</v>
      </c>
      <c r="R163" t="s">
        <v>40</v>
      </c>
    </row>
    <row r="164" spans="1:18" x14ac:dyDescent="0.25">
      <c r="A164" t="s">
        <v>314</v>
      </c>
      <c r="B164" t="s">
        <v>67</v>
      </c>
      <c r="C164" t="s">
        <v>48</v>
      </c>
      <c r="D164" s="1" t="s">
        <v>834</v>
      </c>
      <c r="E164" t="s">
        <v>1354</v>
      </c>
      <c r="F164" t="s">
        <v>34</v>
      </c>
      <c r="G164" t="s">
        <v>12</v>
      </c>
      <c r="H164" t="s">
        <v>1874</v>
      </c>
      <c r="I164" t="s">
        <v>35</v>
      </c>
      <c r="J164" t="s">
        <v>2394</v>
      </c>
      <c r="K164" t="s">
        <v>5</v>
      </c>
      <c r="L164" s="22">
        <v>9</v>
      </c>
      <c r="M164" s="30">
        <v>1</v>
      </c>
      <c r="N164" s="11" t="s">
        <v>5</v>
      </c>
      <c r="O164" s="1">
        <v>84</v>
      </c>
      <c r="P164" s="1">
        <v>84</v>
      </c>
    </row>
    <row r="165" spans="1:18" x14ac:dyDescent="0.25">
      <c r="A165" t="s">
        <v>315</v>
      </c>
      <c r="B165" t="s">
        <v>32</v>
      </c>
      <c r="C165" t="s">
        <v>33</v>
      </c>
      <c r="D165" s="1" t="s">
        <v>835</v>
      </c>
      <c r="E165" t="s">
        <v>1355</v>
      </c>
      <c r="F165" t="s">
        <v>34</v>
      </c>
      <c r="G165" t="s">
        <v>12</v>
      </c>
      <c r="H165" t="s">
        <v>1875</v>
      </c>
      <c r="I165" t="s">
        <v>42</v>
      </c>
      <c r="J165" t="s">
        <v>2395</v>
      </c>
      <c r="K165" t="s">
        <v>5</v>
      </c>
      <c r="L165" s="22">
        <v>7</v>
      </c>
      <c r="M165" s="30">
        <v>0.64102564102564108</v>
      </c>
      <c r="N165" s="11" t="s">
        <v>6</v>
      </c>
      <c r="O165" s="1">
        <v>78</v>
      </c>
      <c r="P165" s="1">
        <v>50</v>
      </c>
      <c r="R165" t="s">
        <v>40</v>
      </c>
    </row>
    <row r="166" spans="1:18" x14ac:dyDescent="0.25">
      <c r="A166" t="s">
        <v>316</v>
      </c>
      <c r="B166" t="s">
        <v>122</v>
      </c>
      <c r="C166" t="s">
        <v>33</v>
      </c>
      <c r="D166" s="1" t="s">
        <v>836</v>
      </c>
      <c r="E166" t="s">
        <v>1356</v>
      </c>
      <c r="F166" t="s">
        <v>34</v>
      </c>
      <c r="G166" t="s">
        <v>12</v>
      </c>
      <c r="H166" t="s">
        <v>1876</v>
      </c>
      <c r="I166" t="s">
        <v>95</v>
      </c>
      <c r="J166" t="s">
        <v>2396</v>
      </c>
      <c r="K166" t="s">
        <v>5</v>
      </c>
      <c r="L166" s="22">
        <v>7</v>
      </c>
      <c r="M166" s="30">
        <v>0.14285714285714285</v>
      </c>
      <c r="N166" s="11" t="s">
        <v>6</v>
      </c>
      <c r="O166" s="1">
        <v>70</v>
      </c>
      <c r="P166" s="1">
        <v>10</v>
      </c>
    </row>
    <row r="167" spans="1:18" x14ac:dyDescent="0.25">
      <c r="A167" t="s">
        <v>317</v>
      </c>
      <c r="B167" t="s">
        <v>67</v>
      </c>
      <c r="C167" t="s">
        <v>48</v>
      </c>
      <c r="D167" s="1" t="s">
        <v>837</v>
      </c>
      <c r="E167" t="s">
        <v>1357</v>
      </c>
      <c r="F167" t="s">
        <v>34</v>
      </c>
      <c r="G167" t="s">
        <v>12</v>
      </c>
      <c r="H167" t="s">
        <v>1877</v>
      </c>
      <c r="I167" t="s">
        <v>54</v>
      </c>
      <c r="J167" t="s">
        <v>2397</v>
      </c>
      <c r="K167" t="s">
        <v>5</v>
      </c>
      <c r="L167" s="22">
        <v>9</v>
      </c>
      <c r="M167" s="30">
        <v>0.22093023255813954</v>
      </c>
      <c r="N167" s="11" t="s">
        <v>6</v>
      </c>
      <c r="O167" s="1">
        <v>86</v>
      </c>
      <c r="P167" s="1">
        <v>19</v>
      </c>
    </row>
    <row r="168" spans="1:18" x14ac:dyDescent="0.25">
      <c r="A168" t="s">
        <v>318</v>
      </c>
      <c r="B168" t="s">
        <v>53</v>
      </c>
      <c r="C168" t="s">
        <v>48</v>
      </c>
      <c r="D168" s="1" t="s">
        <v>838</v>
      </c>
      <c r="E168" t="s">
        <v>1358</v>
      </c>
      <c r="F168" t="s">
        <v>34</v>
      </c>
      <c r="G168" t="s">
        <v>12</v>
      </c>
      <c r="H168" t="s">
        <v>1878</v>
      </c>
      <c r="I168" t="s">
        <v>42</v>
      </c>
      <c r="J168" t="s">
        <v>2398</v>
      </c>
      <c r="K168" t="s">
        <v>5</v>
      </c>
      <c r="L168" s="22">
        <v>9</v>
      </c>
      <c r="M168" s="30">
        <v>0.20192307692307693</v>
      </c>
      <c r="N168" s="11" t="s">
        <v>6</v>
      </c>
      <c r="O168" s="1">
        <v>104</v>
      </c>
      <c r="P168" s="1">
        <v>21</v>
      </c>
    </row>
    <row r="169" spans="1:18" x14ac:dyDescent="0.25">
      <c r="A169" t="s">
        <v>319</v>
      </c>
      <c r="B169" t="s">
        <v>67</v>
      </c>
      <c r="C169" t="s">
        <v>48</v>
      </c>
      <c r="D169" s="1" t="s">
        <v>839</v>
      </c>
      <c r="E169" t="s">
        <v>1359</v>
      </c>
      <c r="F169" t="s">
        <v>114</v>
      </c>
      <c r="G169" t="s">
        <v>12</v>
      </c>
      <c r="H169" t="s">
        <v>1879</v>
      </c>
      <c r="I169" t="s">
        <v>42</v>
      </c>
      <c r="J169" t="s">
        <v>2399</v>
      </c>
      <c r="K169" t="s">
        <v>5</v>
      </c>
      <c r="L169" s="22">
        <v>9</v>
      </c>
      <c r="M169" s="30">
        <v>1</v>
      </c>
      <c r="N169" s="11" t="s">
        <v>5</v>
      </c>
      <c r="O169" s="1">
        <v>106</v>
      </c>
      <c r="P169" s="1">
        <v>106</v>
      </c>
      <c r="R169" t="s">
        <v>40</v>
      </c>
    </row>
    <row r="170" spans="1:18" x14ac:dyDescent="0.25">
      <c r="A170" t="s">
        <v>320</v>
      </c>
      <c r="B170" t="s">
        <v>62</v>
      </c>
      <c r="C170" t="s">
        <v>63</v>
      </c>
      <c r="D170" s="1" t="s">
        <v>840</v>
      </c>
      <c r="E170" t="s">
        <v>1360</v>
      </c>
      <c r="F170" t="s">
        <v>41</v>
      </c>
      <c r="G170" t="s">
        <v>12</v>
      </c>
      <c r="H170" t="s">
        <v>1880</v>
      </c>
      <c r="I170" t="s">
        <v>107</v>
      </c>
      <c r="J170" t="s">
        <v>2400</v>
      </c>
      <c r="K170" t="s">
        <v>5</v>
      </c>
      <c r="L170" s="22">
        <v>7</v>
      </c>
      <c r="M170" s="31">
        <v>1</v>
      </c>
      <c r="N170" s="11" t="s">
        <v>5</v>
      </c>
      <c r="O170" s="22">
        <v>66</v>
      </c>
      <c r="P170" s="1">
        <v>66</v>
      </c>
      <c r="R170" t="s">
        <v>40</v>
      </c>
    </row>
    <row r="171" spans="1:18" x14ac:dyDescent="0.25">
      <c r="A171" t="s">
        <v>321</v>
      </c>
      <c r="B171" t="s">
        <v>88</v>
      </c>
      <c r="C171" t="s">
        <v>48</v>
      </c>
      <c r="D171" s="1" t="s">
        <v>841</v>
      </c>
      <c r="E171" t="s">
        <v>1361</v>
      </c>
      <c r="F171" t="s">
        <v>34</v>
      </c>
      <c r="G171" t="s">
        <v>10</v>
      </c>
      <c r="H171" t="s">
        <v>1881</v>
      </c>
      <c r="I171" t="s">
        <v>106</v>
      </c>
      <c r="J171" t="s">
        <v>2401</v>
      </c>
      <c r="K171" t="s">
        <v>5</v>
      </c>
      <c r="L171" s="22">
        <v>9</v>
      </c>
      <c r="M171" s="30">
        <v>0.16250000000000001</v>
      </c>
      <c r="N171" s="11" t="s">
        <v>6</v>
      </c>
      <c r="O171" s="1">
        <v>80</v>
      </c>
      <c r="P171" s="1">
        <v>13</v>
      </c>
    </row>
    <row r="172" spans="1:18" x14ac:dyDescent="0.25">
      <c r="A172" t="s">
        <v>322</v>
      </c>
      <c r="B172" t="s">
        <v>67</v>
      </c>
      <c r="C172" t="s">
        <v>48</v>
      </c>
      <c r="D172" s="1" t="s">
        <v>842</v>
      </c>
      <c r="E172" t="s">
        <v>1362</v>
      </c>
      <c r="F172" t="s">
        <v>34</v>
      </c>
      <c r="G172" t="s">
        <v>12</v>
      </c>
      <c r="H172" t="s">
        <v>1882</v>
      </c>
      <c r="I172" t="s">
        <v>50</v>
      </c>
      <c r="J172" t="s">
        <v>2402</v>
      </c>
      <c r="K172" t="s">
        <v>5</v>
      </c>
      <c r="L172" s="22">
        <v>9</v>
      </c>
      <c r="M172" s="30">
        <v>1</v>
      </c>
      <c r="N172" s="11" t="s">
        <v>5</v>
      </c>
      <c r="O172" s="1">
        <v>84</v>
      </c>
      <c r="P172" s="1">
        <v>84</v>
      </c>
    </row>
    <row r="173" spans="1:18" x14ac:dyDescent="0.25">
      <c r="A173" t="s">
        <v>323</v>
      </c>
      <c r="B173" t="s">
        <v>53</v>
      </c>
      <c r="C173" t="s">
        <v>48</v>
      </c>
      <c r="D173" s="1" t="s">
        <v>843</v>
      </c>
      <c r="E173" t="s">
        <v>1363</v>
      </c>
      <c r="F173" t="s">
        <v>34</v>
      </c>
      <c r="G173" t="s">
        <v>12</v>
      </c>
      <c r="H173" t="s">
        <v>1883</v>
      </c>
      <c r="I173" t="s">
        <v>68</v>
      </c>
      <c r="J173" t="s">
        <v>2403</v>
      </c>
      <c r="K173" t="s">
        <v>5</v>
      </c>
      <c r="L173" s="22">
        <v>9</v>
      </c>
      <c r="M173" s="30">
        <v>0.78</v>
      </c>
      <c r="N173" s="11" t="s">
        <v>6</v>
      </c>
      <c r="O173" s="1">
        <v>100</v>
      </c>
      <c r="P173" s="1">
        <v>78</v>
      </c>
      <c r="R173" t="s">
        <v>40</v>
      </c>
    </row>
    <row r="174" spans="1:18" x14ac:dyDescent="0.25">
      <c r="A174" t="s">
        <v>324</v>
      </c>
      <c r="B174" t="s">
        <v>53</v>
      </c>
      <c r="C174" t="s">
        <v>48</v>
      </c>
      <c r="D174" s="1" t="s">
        <v>844</v>
      </c>
      <c r="E174" t="s">
        <v>1364</v>
      </c>
      <c r="F174" t="s">
        <v>34</v>
      </c>
      <c r="G174" t="s">
        <v>12</v>
      </c>
      <c r="H174" t="s">
        <v>1884</v>
      </c>
      <c r="I174" t="s">
        <v>42</v>
      </c>
      <c r="J174" t="s">
        <v>2404</v>
      </c>
      <c r="K174" t="s">
        <v>5</v>
      </c>
      <c r="L174" s="22">
        <v>7</v>
      </c>
      <c r="M174" s="30">
        <v>1</v>
      </c>
      <c r="N174" s="11" t="s">
        <v>5</v>
      </c>
      <c r="O174" s="1">
        <v>84</v>
      </c>
      <c r="P174" s="1">
        <v>84</v>
      </c>
      <c r="R174" t="s">
        <v>40</v>
      </c>
    </row>
    <row r="175" spans="1:18" x14ac:dyDescent="0.25">
      <c r="A175" t="s">
        <v>325</v>
      </c>
      <c r="B175" t="s">
        <v>53</v>
      </c>
      <c r="C175" t="s">
        <v>48</v>
      </c>
      <c r="D175" s="1" t="s">
        <v>845</v>
      </c>
      <c r="E175" t="s">
        <v>1365</v>
      </c>
      <c r="F175" t="s">
        <v>34</v>
      </c>
      <c r="G175" t="s">
        <v>12</v>
      </c>
      <c r="H175" t="s">
        <v>1885</v>
      </c>
      <c r="I175" t="s">
        <v>71</v>
      </c>
      <c r="J175" t="s">
        <v>2405</v>
      </c>
      <c r="K175" t="s">
        <v>5</v>
      </c>
      <c r="L175" s="22">
        <v>9</v>
      </c>
      <c r="M175" s="31">
        <v>1</v>
      </c>
      <c r="N175" s="11" t="s">
        <v>5</v>
      </c>
      <c r="O175" s="22">
        <v>84</v>
      </c>
      <c r="P175" s="1">
        <v>84</v>
      </c>
      <c r="R175" t="s">
        <v>40</v>
      </c>
    </row>
    <row r="176" spans="1:18" x14ac:dyDescent="0.25">
      <c r="A176" t="s">
        <v>326</v>
      </c>
      <c r="B176" t="s">
        <v>88</v>
      </c>
      <c r="C176" t="s">
        <v>48</v>
      </c>
      <c r="D176" s="1" t="s">
        <v>846</v>
      </c>
      <c r="E176" t="s">
        <v>1366</v>
      </c>
      <c r="F176" t="s">
        <v>49</v>
      </c>
      <c r="G176" t="s">
        <v>12</v>
      </c>
      <c r="H176" t="s">
        <v>1886</v>
      </c>
      <c r="I176" t="s">
        <v>42</v>
      </c>
      <c r="J176" t="s">
        <v>2406</v>
      </c>
      <c r="K176" t="s">
        <v>5</v>
      </c>
      <c r="L176" s="22">
        <v>9</v>
      </c>
      <c r="M176" s="30">
        <v>1</v>
      </c>
      <c r="N176" s="11" t="s">
        <v>5</v>
      </c>
      <c r="O176" s="1">
        <v>94</v>
      </c>
      <c r="P176" s="1">
        <v>94</v>
      </c>
      <c r="R176" t="s">
        <v>40</v>
      </c>
    </row>
    <row r="177" spans="1:18" x14ac:dyDescent="0.25">
      <c r="A177" t="s">
        <v>327</v>
      </c>
      <c r="B177" t="s">
        <v>32</v>
      </c>
      <c r="C177" t="s">
        <v>33</v>
      </c>
      <c r="D177" s="1" t="s">
        <v>847</v>
      </c>
      <c r="E177" t="s">
        <v>1367</v>
      </c>
      <c r="F177" t="s">
        <v>70</v>
      </c>
      <c r="G177" t="s">
        <v>12</v>
      </c>
      <c r="H177" t="s">
        <v>1887</v>
      </c>
      <c r="I177" t="s">
        <v>35</v>
      </c>
      <c r="J177" t="s">
        <v>2407</v>
      </c>
      <c r="K177" t="s">
        <v>5</v>
      </c>
      <c r="L177" s="22">
        <v>7</v>
      </c>
      <c r="M177" s="30">
        <v>0.10204081632653061</v>
      </c>
      <c r="N177" s="11" t="s">
        <v>6</v>
      </c>
      <c r="O177" s="1">
        <v>98</v>
      </c>
      <c r="P177" s="1">
        <v>10</v>
      </c>
      <c r="Q177" t="s">
        <v>44</v>
      </c>
      <c r="R177" t="s">
        <v>40</v>
      </c>
    </row>
    <row r="178" spans="1:18" x14ac:dyDescent="0.25">
      <c r="A178" t="s">
        <v>328</v>
      </c>
      <c r="B178" t="s">
        <v>47</v>
      </c>
      <c r="C178" t="s">
        <v>48</v>
      </c>
      <c r="D178" s="1" t="s">
        <v>848</v>
      </c>
      <c r="E178" t="s">
        <v>1368</v>
      </c>
      <c r="F178" t="s">
        <v>43</v>
      </c>
      <c r="G178" t="s">
        <v>12</v>
      </c>
      <c r="H178" t="s">
        <v>1888</v>
      </c>
      <c r="I178" t="s">
        <v>72</v>
      </c>
      <c r="J178" t="s">
        <v>2408</v>
      </c>
      <c r="K178" t="s">
        <v>5</v>
      </c>
      <c r="L178" s="22">
        <v>9</v>
      </c>
      <c r="M178" s="31">
        <v>1</v>
      </c>
      <c r="N178" s="11" t="s">
        <v>5</v>
      </c>
      <c r="O178" s="22">
        <v>106</v>
      </c>
      <c r="P178" s="1">
        <v>106</v>
      </c>
      <c r="R178" t="s">
        <v>40</v>
      </c>
    </row>
    <row r="179" spans="1:18" x14ac:dyDescent="0.25">
      <c r="A179" t="s">
        <v>329</v>
      </c>
      <c r="B179" t="s">
        <v>83</v>
      </c>
      <c r="C179" t="s">
        <v>57</v>
      </c>
      <c r="D179" s="1" t="s">
        <v>849</v>
      </c>
      <c r="E179" t="s">
        <v>1369</v>
      </c>
      <c r="F179" t="s">
        <v>34</v>
      </c>
      <c r="G179" t="s">
        <v>11</v>
      </c>
      <c r="H179" t="s">
        <v>1889</v>
      </c>
      <c r="I179" t="s">
        <v>108</v>
      </c>
      <c r="J179" t="s">
        <v>2409</v>
      </c>
      <c r="K179" t="s">
        <v>5</v>
      </c>
      <c r="L179" s="22">
        <v>5</v>
      </c>
      <c r="M179" s="30">
        <v>1</v>
      </c>
      <c r="N179" s="11" t="s">
        <v>5</v>
      </c>
      <c r="O179" s="22">
        <v>72</v>
      </c>
      <c r="P179" s="1">
        <v>72</v>
      </c>
      <c r="R179" t="s">
        <v>40</v>
      </c>
    </row>
    <row r="180" spans="1:18" x14ac:dyDescent="0.25">
      <c r="A180" t="s">
        <v>330</v>
      </c>
      <c r="B180" t="s">
        <v>62</v>
      </c>
      <c r="C180" t="s">
        <v>63</v>
      </c>
      <c r="D180" s="1" t="s">
        <v>850</v>
      </c>
      <c r="E180" t="s">
        <v>1370</v>
      </c>
      <c r="F180" t="s">
        <v>34</v>
      </c>
      <c r="G180" t="s">
        <v>12</v>
      </c>
      <c r="H180" t="s">
        <v>1890</v>
      </c>
      <c r="I180" t="s">
        <v>52</v>
      </c>
      <c r="J180" t="s">
        <v>2410</v>
      </c>
      <c r="K180" t="s">
        <v>5</v>
      </c>
      <c r="L180" s="22">
        <v>7</v>
      </c>
      <c r="M180" s="30">
        <v>0.48780487804878048</v>
      </c>
      <c r="N180" s="11" t="s">
        <v>6</v>
      </c>
      <c r="O180" s="1">
        <v>82</v>
      </c>
      <c r="P180" s="1">
        <v>40</v>
      </c>
    </row>
    <row r="181" spans="1:18" x14ac:dyDescent="0.25">
      <c r="A181" t="s">
        <v>331</v>
      </c>
      <c r="B181" t="s">
        <v>45</v>
      </c>
      <c r="C181" t="s">
        <v>37</v>
      </c>
      <c r="D181" s="1" t="s">
        <v>851</v>
      </c>
      <c r="E181" t="s">
        <v>1371</v>
      </c>
      <c r="F181" t="s">
        <v>34</v>
      </c>
      <c r="G181" t="s">
        <v>12</v>
      </c>
      <c r="H181" t="s">
        <v>1891</v>
      </c>
      <c r="I181" t="s">
        <v>64</v>
      </c>
      <c r="J181" t="s">
        <v>2411</v>
      </c>
      <c r="K181" t="s">
        <v>5</v>
      </c>
      <c r="L181" s="22">
        <v>9</v>
      </c>
      <c r="M181" s="31">
        <v>0.11428571428571428</v>
      </c>
      <c r="N181" s="11" t="s">
        <v>6</v>
      </c>
      <c r="O181" s="22">
        <v>70</v>
      </c>
      <c r="P181" s="1">
        <v>8</v>
      </c>
      <c r="R181" t="s">
        <v>40</v>
      </c>
    </row>
    <row r="182" spans="1:18" x14ac:dyDescent="0.25">
      <c r="A182" t="s">
        <v>332</v>
      </c>
      <c r="B182" t="s">
        <v>32</v>
      </c>
      <c r="C182" t="s">
        <v>33</v>
      </c>
      <c r="D182" s="1" t="s">
        <v>852</v>
      </c>
      <c r="E182" t="s">
        <v>1372</v>
      </c>
      <c r="F182" t="s">
        <v>43</v>
      </c>
      <c r="G182" t="s">
        <v>12</v>
      </c>
      <c r="H182" t="s">
        <v>1892</v>
      </c>
      <c r="I182" t="s">
        <v>123</v>
      </c>
      <c r="J182" t="s">
        <v>2412</v>
      </c>
      <c r="K182" t="s">
        <v>5</v>
      </c>
      <c r="L182" s="22">
        <v>7</v>
      </c>
      <c r="M182" s="30">
        <v>1</v>
      </c>
      <c r="N182" s="11" t="s">
        <v>5</v>
      </c>
      <c r="O182" s="1">
        <v>98</v>
      </c>
      <c r="P182" s="1">
        <v>98</v>
      </c>
      <c r="Q182" t="s">
        <v>44</v>
      </c>
      <c r="R182" t="s">
        <v>40</v>
      </c>
    </row>
    <row r="183" spans="1:18" x14ac:dyDescent="0.25">
      <c r="A183" t="s">
        <v>333</v>
      </c>
      <c r="B183" t="s">
        <v>32</v>
      </c>
      <c r="C183" t="s">
        <v>33</v>
      </c>
      <c r="D183" s="1" t="s">
        <v>853</v>
      </c>
      <c r="E183" t="s">
        <v>1373</v>
      </c>
      <c r="F183" t="s">
        <v>75</v>
      </c>
      <c r="G183" t="s">
        <v>12</v>
      </c>
      <c r="H183" t="s">
        <v>1893</v>
      </c>
      <c r="I183" t="s">
        <v>42</v>
      </c>
      <c r="J183" t="s">
        <v>2413</v>
      </c>
      <c r="K183" t="s">
        <v>5</v>
      </c>
      <c r="L183" s="22">
        <v>7</v>
      </c>
      <c r="M183" s="30">
        <v>0.37755102040816324</v>
      </c>
      <c r="N183" s="11" t="s">
        <v>6</v>
      </c>
      <c r="O183" s="1">
        <v>98</v>
      </c>
      <c r="P183" s="1">
        <v>37</v>
      </c>
    </row>
    <row r="184" spans="1:18" x14ac:dyDescent="0.25">
      <c r="A184" t="s">
        <v>334</v>
      </c>
      <c r="B184" t="s">
        <v>47</v>
      </c>
      <c r="C184" t="s">
        <v>48</v>
      </c>
      <c r="D184" s="1" t="s">
        <v>854</v>
      </c>
      <c r="E184" t="s">
        <v>1374</v>
      </c>
      <c r="F184" t="s">
        <v>70</v>
      </c>
      <c r="G184" t="s">
        <v>12</v>
      </c>
      <c r="H184" t="s">
        <v>1894</v>
      </c>
      <c r="I184" t="s">
        <v>54</v>
      </c>
      <c r="J184" t="s">
        <v>2414</v>
      </c>
      <c r="K184" t="s">
        <v>5</v>
      </c>
      <c r="L184" s="22">
        <v>9</v>
      </c>
      <c r="M184" s="30">
        <v>1</v>
      </c>
      <c r="N184" s="11" t="s">
        <v>5</v>
      </c>
      <c r="O184" s="1">
        <v>74</v>
      </c>
      <c r="P184" s="1">
        <v>74</v>
      </c>
      <c r="R184" t="s">
        <v>40</v>
      </c>
    </row>
    <row r="185" spans="1:18" x14ac:dyDescent="0.25">
      <c r="A185" t="s">
        <v>335</v>
      </c>
      <c r="B185" t="s">
        <v>51</v>
      </c>
      <c r="C185" t="s">
        <v>37</v>
      </c>
      <c r="D185" s="1" t="s">
        <v>855</v>
      </c>
      <c r="E185" t="s">
        <v>1375</v>
      </c>
      <c r="F185" t="s">
        <v>34</v>
      </c>
      <c r="G185" t="s">
        <v>12</v>
      </c>
      <c r="H185" t="s">
        <v>1895</v>
      </c>
      <c r="I185" t="s">
        <v>71</v>
      </c>
      <c r="J185" t="s">
        <v>2415</v>
      </c>
      <c r="K185" t="s">
        <v>5</v>
      </c>
      <c r="L185" s="22">
        <v>9</v>
      </c>
      <c r="M185" s="30">
        <v>0.77358490566037741</v>
      </c>
      <c r="N185" s="11" t="s">
        <v>6</v>
      </c>
      <c r="O185" s="1">
        <v>106</v>
      </c>
      <c r="P185" s="1">
        <v>82</v>
      </c>
      <c r="Q185" t="s">
        <v>44</v>
      </c>
      <c r="R185" t="s">
        <v>40</v>
      </c>
    </row>
    <row r="186" spans="1:18" x14ac:dyDescent="0.25">
      <c r="A186" t="s">
        <v>336</v>
      </c>
      <c r="B186" t="s">
        <v>67</v>
      </c>
      <c r="C186" t="s">
        <v>48</v>
      </c>
      <c r="D186" s="1" t="s">
        <v>856</v>
      </c>
      <c r="E186" t="s">
        <v>1376</v>
      </c>
      <c r="F186" t="s">
        <v>41</v>
      </c>
      <c r="G186" t="s">
        <v>12</v>
      </c>
      <c r="H186" t="s">
        <v>1896</v>
      </c>
      <c r="I186" t="s">
        <v>116</v>
      </c>
      <c r="J186" t="s">
        <v>2416</v>
      </c>
      <c r="K186" t="s">
        <v>5</v>
      </c>
      <c r="L186" s="22">
        <v>9</v>
      </c>
      <c r="M186" s="30">
        <v>1</v>
      </c>
      <c r="N186" s="23" t="s">
        <v>5</v>
      </c>
      <c r="O186" s="22">
        <v>72</v>
      </c>
      <c r="P186" s="1">
        <v>72</v>
      </c>
      <c r="Q186" t="s">
        <v>44</v>
      </c>
      <c r="R186" t="s">
        <v>40</v>
      </c>
    </row>
    <row r="187" spans="1:18" x14ac:dyDescent="0.25">
      <c r="A187" t="s">
        <v>337</v>
      </c>
      <c r="B187" t="s">
        <v>56</v>
      </c>
      <c r="C187" t="s">
        <v>57</v>
      </c>
      <c r="D187" s="1" t="s">
        <v>857</v>
      </c>
      <c r="E187" t="s">
        <v>1377</v>
      </c>
      <c r="F187" t="s">
        <v>34</v>
      </c>
      <c r="G187" t="s">
        <v>12</v>
      </c>
      <c r="H187" t="s">
        <v>1897</v>
      </c>
      <c r="I187" t="s">
        <v>50</v>
      </c>
      <c r="J187" t="s">
        <v>2417</v>
      </c>
      <c r="K187" t="s">
        <v>5</v>
      </c>
      <c r="L187" s="22">
        <v>7</v>
      </c>
      <c r="M187" s="30">
        <v>0.1271186440677966</v>
      </c>
      <c r="N187" s="11" t="s">
        <v>6</v>
      </c>
      <c r="O187" s="1">
        <v>118</v>
      </c>
      <c r="P187" s="1">
        <v>15</v>
      </c>
    </row>
    <row r="188" spans="1:18" x14ac:dyDescent="0.25">
      <c r="A188" t="s">
        <v>338</v>
      </c>
      <c r="B188" t="s">
        <v>67</v>
      </c>
      <c r="C188" t="s">
        <v>48</v>
      </c>
      <c r="D188" s="1" t="s">
        <v>858</v>
      </c>
      <c r="E188" t="s">
        <v>1378</v>
      </c>
      <c r="F188" t="s">
        <v>82</v>
      </c>
      <c r="G188" t="s">
        <v>12</v>
      </c>
      <c r="H188" t="s">
        <v>1898</v>
      </c>
      <c r="I188" t="s">
        <v>54</v>
      </c>
      <c r="J188" t="s">
        <v>2418</v>
      </c>
      <c r="K188" t="s">
        <v>5</v>
      </c>
      <c r="L188" s="22">
        <v>9</v>
      </c>
      <c r="M188" s="31">
        <v>1</v>
      </c>
      <c r="N188" s="11" t="s">
        <v>5</v>
      </c>
      <c r="O188" s="22">
        <v>106</v>
      </c>
      <c r="P188" s="1">
        <v>106</v>
      </c>
      <c r="R188" t="s">
        <v>40</v>
      </c>
    </row>
    <row r="189" spans="1:18" x14ac:dyDescent="0.25">
      <c r="A189" t="s">
        <v>339</v>
      </c>
      <c r="B189" t="s">
        <v>53</v>
      </c>
      <c r="C189" t="s">
        <v>48</v>
      </c>
      <c r="D189" s="1" t="s">
        <v>859</v>
      </c>
      <c r="E189" t="s">
        <v>1379</v>
      </c>
      <c r="F189" t="s">
        <v>41</v>
      </c>
      <c r="G189" t="s">
        <v>12</v>
      </c>
      <c r="H189" t="s">
        <v>1899</v>
      </c>
      <c r="I189" t="s">
        <v>54</v>
      </c>
      <c r="J189" t="s">
        <v>2419</v>
      </c>
      <c r="K189" t="s">
        <v>5</v>
      </c>
      <c r="L189" s="22">
        <v>9</v>
      </c>
      <c r="M189" s="30">
        <v>1</v>
      </c>
      <c r="N189" s="11" t="s">
        <v>5</v>
      </c>
      <c r="O189" s="1">
        <v>94</v>
      </c>
      <c r="P189" s="1">
        <v>94</v>
      </c>
      <c r="R189" t="s">
        <v>40</v>
      </c>
    </row>
    <row r="190" spans="1:18" x14ac:dyDescent="0.25">
      <c r="A190" t="s">
        <v>340</v>
      </c>
      <c r="B190" t="s">
        <v>62</v>
      </c>
      <c r="C190" t="s">
        <v>63</v>
      </c>
      <c r="D190" s="1" t="s">
        <v>860</v>
      </c>
      <c r="E190" t="s">
        <v>1380</v>
      </c>
      <c r="F190" t="s">
        <v>75</v>
      </c>
      <c r="G190" t="s">
        <v>12</v>
      </c>
      <c r="H190" t="s">
        <v>1900</v>
      </c>
      <c r="I190" t="s">
        <v>52</v>
      </c>
      <c r="J190" t="s">
        <v>2420</v>
      </c>
      <c r="K190" t="s">
        <v>5</v>
      </c>
      <c r="L190" s="22">
        <v>6</v>
      </c>
      <c r="M190" s="30">
        <v>1</v>
      </c>
      <c r="N190" s="11" t="s">
        <v>5</v>
      </c>
      <c r="O190" s="1">
        <v>81</v>
      </c>
      <c r="P190" s="1">
        <v>81</v>
      </c>
    </row>
    <row r="191" spans="1:18" x14ac:dyDescent="0.25">
      <c r="A191" t="s">
        <v>341</v>
      </c>
      <c r="B191" t="s">
        <v>62</v>
      </c>
      <c r="C191" t="s">
        <v>63</v>
      </c>
      <c r="D191" s="1" t="s">
        <v>861</v>
      </c>
      <c r="E191" t="s">
        <v>1381</v>
      </c>
      <c r="F191" t="s">
        <v>70</v>
      </c>
      <c r="G191" t="s">
        <v>12</v>
      </c>
      <c r="H191" t="s">
        <v>1901</v>
      </c>
      <c r="I191" t="s">
        <v>42</v>
      </c>
      <c r="J191" t="s">
        <v>2421</v>
      </c>
      <c r="K191" t="s">
        <v>5</v>
      </c>
      <c r="L191" s="22">
        <v>7</v>
      </c>
      <c r="M191" s="30">
        <v>0.45121951219512196</v>
      </c>
      <c r="N191" s="11" t="s">
        <v>6</v>
      </c>
      <c r="O191" s="1">
        <v>82</v>
      </c>
      <c r="P191" s="1">
        <v>37</v>
      </c>
      <c r="R191" t="s">
        <v>40</v>
      </c>
    </row>
    <row r="192" spans="1:18" x14ac:dyDescent="0.25">
      <c r="A192" t="s">
        <v>342</v>
      </c>
      <c r="B192" t="s">
        <v>51</v>
      </c>
      <c r="C192" t="s">
        <v>37</v>
      </c>
      <c r="D192" s="1" t="s">
        <v>862</v>
      </c>
      <c r="E192" t="s">
        <v>1382</v>
      </c>
      <c r="F192" t="s">
        <v>43</v>
      </c>
      <c r="G192" t="s">
        <v>12</v>
      </c>
      <c r="H192" t="s">
        <v>1902</v>
      </c>
      <c r="I192" t="s">
        <v>35</v>
      </c>
      <c r="J192" t="s">
        <v>2422</v>
      </c>
      <c r="K192" t="s">
        <v>5</v>
      </c>
      <c r="L192" s="22">
        <v>5</v>
      </c>
      <c r="M192" s="31">
        <v>1</v>
      </c>
      <c r="N192" s="11" t="s">
        <v>5</v>
      </c>
      <c r="O192" s="22">
        <v>62</v>
      </c>
      <c r="P192" s="1">
        <v>62</v>
      </c>
      <c r="R192" t="s">
        <v>40</v>
      </c>
    </row>
    <row r="193" spans="1:18" x14ac:dyDescent="0.25">
      <c r="A193" t="s">
        <v>343</v>
      </c>
      <c r="B193" t="s">
        <v>109</v>
      </c>
      <c r="C193" t="s">
        <v>85</v>
      </c>
      <c r="D193" s="1" t="s">
        <v>863</v>
      </c>
      <c r="E193" t="s">
        <v>1383</v>
      </c>
      <c r="F193" t="s">
        <v>82</v>
      </c>
      <c r="G193" t="s">
        <v>12</v>
      </c>
      <c r="H193" t="s">
        <v>1903</v>
      </c>
      <c r="I193" t="s">
        <v>50</v>
      </c>
      <c r="J193" t="s">
        <v>2423</v>
      </c>
      <c r="K193" t="s">
        <v>5</v>
      </c>
      <c r="L193" s="22">
        <v>8</v>
      </c>
      <c r="M193" s="30">
        <v>0.45070422535211269</v>
      </c>
      <c r="N193" s="11" t="s">
        <v>6</v>
      </c>
      <c r="O193" s="22">
        <v>71</v>
      </c>
      <c r="P193" s="1">
        <v>32</v>
      </c>
      <c r="R193" t="s">
        <v>40</v>
      </c>
    </row>
    <row r="194" spans="1:18" x14ac:dyDescent="0.25">
      <c r="A194" t="s">
        <v>344</v>
      </c>
      <c r="B194" t="s">
        <v>32</v>
      </c>
      <c r="C194" t="s">
        <v>33</v>
      </c>
      <c r="D194" s="1" t="s">
        <v>864</v>
      </c>
      <c r="E194" t="s">
        <v>1384</v>
      </c>
      <c r="F194" t="s">
        <v>43</v>
      </c>
      <c r="G194" t="s">
        <v>12</v>
      </c>
      <c r="H194" t="s">
        <v>1904</v>
      </c>
      <c r="I194" t="s">
        <v>35</v>
      </c>
      <c r="J194" t="s">
        <v>2424</v>
      </c>
      <c r="K194" t="s">
        <v>5</v>
      </c>
      <c r="L194" s="22">
        <v>7</v>
      </c>
      <c r="M194" s="30">
        <v>1</v>
      </c>
      <c r="N194" s="11" t="s">
        <v>5</v>
      </c>
      <c r="O194" s="1">
        <v>82</v>
      </c>
      <c r="P194" s="1">
        <v>82</v>
      </c>
      <c r="R194" t="s">
        <v>40</v>
      </c>
    </row>
    <row r="195" spans="1:18" x14ac:dyDescent="0.25">
      <c r="A195" t="s">
        <v>345</v>
      </c>
      <c r="B195" t="s">
        <v>53</v>
      </c>
      <c r="C195" t="s">
        <v>48</v>
      </c>
      <c r="D195" s="1" t="s">
        <v>865</v>
      </c>
      <c r="E195" t="s">
        <v>1385</v>
      </c>
      <c r="F195" t="s">
        <v>34</v>
      </c>
      <c r="G195" t="s">
        <v>11</v>
      </c>
      <c r="H195" t="s">
        <v>1905</v>
      </c>
      <c r="I195" t="s">
        <v>108</v>
      </c>
      <c r="J195" t="s">
        <v>2425</v>
      </c>
      <c r="K195" t="s">
        <v>5</v>
      </c>
      <c r="L195" s="22">
        <v>9</v>
      </c>
      <c r="M195" s="30">
        <v>1</v>
      </c>
      <c r="N195" s="11" t="s">
        <v>5</v>
      </c>
      <c r="O195" s="1">
        <v>80</v>
      </c>
      <c r="P195" s="1">
        <v>80</v>
      </c>
    </row>
    <row r="196" spans="1:18" x14ac:dyDescent="0.25">
      <c r="A196" t="s">
        <v>346</v>
      </c>
      <c r="B196" t="s">
        <v>83</v>
      </c>
      <c r="C196" t="s">
        <v>57</v>
      </c>
      <c r="D196" s="1" t="s">
        <v>866</v>
      </c>
      <c r="E196" t="s">
        <v>1386</v>
      </c>
      <c r="F196" t="s">
        <v>34</v>
      </c>
      <c r="G196" t="s">
        <v>11</v>
      </c>
      <c r="H196" t="s">
        <v>1906</v>
      </c>
      <c r="I196" t="s">
        <v>108</v>
      </c>
      <c r="J196" t="s">
        <v>2426</v>
      </c>
      <c r="K196" t="s">
        <v>5</v>
      </c>
      <c r="L196" s="22">
        <v>7</v>
      </c>
      <c r="M196" s="30">
        <v>0.18965517241379309</v>
      </c>
      <c r="N196" s="11" t="s">
        <v>6</v>
      </c>
      <c r="O196" s="1">
        <v>58</v>
      </c>
      <c r="P196" s="1">
        <v>11</v>
      </c>
    </row>
    <row r="197" spans="1:18" x14ac:dyDescent="0.25">
      <c r="A197" t="s">
        <v>347</v>
      </c>
      <c r="B197" t="s">
        <v>73</v>
      </c>
      <c r="C197" t="s">
        <v>74</v>
      </c>
      <c r="D197" s="1" t="s">
        <v>867</v>
      </c>
      <c r="E197" t="s">
        <v>1387</v>
      </c>
      <c r="F197" t="s">
        <v>34</v>
      </c>
      <c r="G197" t="s">
        <v>11</v>
      </c>
      <c r="H197" t="s">
        <v>1907</v>
      </c>
      <c r="I197" t="s">
        <v>108</v>
      </c>
      <c r="J197" t="s">
        <v>2427</v>
      </c>
      <c r="K197" t="s">
        <v>5</v>
      </c>
      <c r="L197" s="22">
        <v>9</v>
      </c>
      <c r="M197" s="31">
        <v>1</v>
      </c>
      <c r="N197" s="11" t="s">
        <v>5</v>
      </c>
      <c r="O197" s="22">
        <v>80</v>
      </c>
      <c r="P197" s="1">
        <v>80</v>
      </c>
      <c r="R197" t="s">
        <v>40</v>
      </c>
    </row>
    <row r="198" spans="1:18" x14ac:dyDescent="0.25">
      <c r="A198" t="s">
        <v>348</v>
      </c>
      <c r="B198" t="s">
        <v>109</v>
      </c>
      <c r="C198" t="s">
        <v>85</v>
      </c>
      <c r="D198" s="1" t="s">
        <v>868</v>
      </c>
      <c r="E198" t="s">
        <v>1388</v>
      </c>
      <c r="F198" t="s">
        <v>34</v>
      </c>
      <c r="G198" t="s">
        <v>12</v>
      </c>
      <c r="H198" t="s">
        <v>1908</v>
      </c>
      <c r="I198" t="s">
        <v>52</v>
      </c>
      <c r="J198" t="s">
        <v>2428</v>
      </c>
      <c r="K198" t="s">
        <v>5</v>
      </c>
      <c r="L198" s="22">
        <v>6</v>
      </c>
      <c r="M198" s="31">
        <v>1</v>
      </c>
      <c r="N198" s="11" t="s">
        <v>5</v>
      </c>
      <c r="O198" s="22">
        <v>65</v>
      </c>
      <c r="P198" s="1">
        <v>65</v>
      </c>
      <c r="R198" t="s">
        <v>40</v>
      </c>
    </row>
    <row r="199" spans="1:18" x14ac:dyDescent="0.25">
      <c r="A199" t="s">
        <v>349</v>
      </c>
      <c r="B199" t="s">
        <v>47</v>
      </c>
      <c r="C199" t="s">
        <v>48</v>
      </c>
      <c r="D199" s="1" t="s">
        <v>869</v>
      </c>
      <c r="E199" t="s">
        <v>1389</v>
      </c>
      <c r="F199" t="s">
        <v>43</v>
      </c>
      <c r="G199" t="s">
        <v>12</v>
      </c>
      <c r="H199" t="s">
        <v>1909</v>
      </c>
      <c r="I199" t="s">
        <v>52</v>
      </c>
      <c r="J199" t="s">
        <v>2429</v>
      </c>
      <c r="K199" t="s">
        <v>5</v>
      </c>
      <c r="L199" s="22">
        <v>9</v>
      </c>
      <c r="M199" s="31">
        <v>0.83333333333333337</v>
      </c>
      <c r="N199" s="11" t="s">
        <v>6</v>
      </c>
      <c r="O199" s="22">
        <v>84</v>
      </c>
      <c r="P199" s="1">
        <v>70</v>
      </c>
      <c r="R199" t="s">
        <v>40</v>
      </c>
    </row>
    <row r="200" spans="1:18" x14ac:dyDescent="0.25">
      <c r="A200" t="s">
        <v>350</v>
      </c>
      <c r="B200" t="s">
        <v>32</v>
      </c>
      <c r="C200" t="s">
        <v>33</v>
      </c>
      <c r="D200" s="1" t="s">
        <v>870</v>
      </c>
      <c r="E200" t="s">
        <v>1390</v>
      </c>
      <c r="F200" t="s">
        <v>49</v>
      </c>
      <c r="G200" t="s">
        <v>12</v>
      </c>
      <c r="H200" t="s">
        <v>1910</v>
      </c>
      <c r="I200" t="s">
        <v>50</v>
      </c>
      <c r="J200" t="s">
        <v>2430</v>
      </c>
      <c r="K200" t="s">
        <v>5</v>
      </c>
      <c r="L200" s="22">
        <v>6</v>
      </c>
      <c r="M200" s="30">
        <v>0.7846153846153846</v>
      </c>
      <c r="N200" s="11" t="s">
        <v>6</v>
      </c>
      <c r="O200" s="1">
        <v>65</v>
      </c>
      <c r="P200" s="1">
        <v>51</v>
      </c>
      <c r="R200" t="s">
        <v>40</v>
      </c>
    </row>
    <row r="201" spans="1:18" x14ac:dyDescent="0.25">
      <c r="A201" t="s">
        <v>351</v>
      </c>
      <c r="B201" t="s">
        <v>77</v>
      </c>
      <c r="C201" t="s">
        <v>57</v>
      </c>
      <c r="D201" s="1" t="s">
        <v>871</v>
      </c>
      <c r="E201" t="s">
        <v>1391</v>
      </c>
      <c r="F201" t="s">
        <v>75</v>
      </c>
      <c r="G201" t="s">
        <v>8</v>
      </c>
      <c r="H201" t="s">
        <v>1911</v>
      </c>
      <c r="I201" t="s">
        <v>61</v>
      </c>
      <c r="J201" t="s">
        <v>2431</v>
      </c>
      <c r="K201" t="s">
        <v>5</v>
      </c>
      <c r="L201" s="22">
        <v>5</v>
      </c>
      <c r="M201" s="30">
        <v>1</v>
      </c>
      <c r="N201" s="11" t="s">
        <v>5</v>
      </c>
      <c r="O201" s="1">
        <v>46</v>
      </c>
      <c r="P201" s="1">
        <v>46</v>
      </c>
      <c r="R201" t="s">
        <v>40</v>
      </c>
    </row>
    <row r="202" spans="1:18" x14ac:dyDescent="0.25">
      <c r="A202" t="s">
        <v>352</v>
      </c>
      <c r="B202" t="s">
        <v>77</v>
      </c>
      <c r="C202" t="s">
        <v>57</v>
      </c>
      <c r="D202" s="1" t="s">
        <v>872</v>
      </c>
      <c r="E202" t="s">
        <v>1392</v>
      </c>
      <c r="F202" t="s">
        <v>34</v>
      </c>
      <c r="G202" t="s">
        <v>8</v>
      </c>
      <c r="H202" t="s">
        <v>1912</v>
      </c>
      <c r="I202" t="s">
        <v>61</v>
      </c>
      <c r="J202" t="s">
        <v>2432</v>
      </c>
      <c r="K202" t="s">
        <v>5</v>
      </c>
      <c r="L202" s="22">
        <v>5</v>
      </c>
      <c r="M202" s="30">
        <v>0.61290322580645162</v>
      </c>
      <c r="N202" s="11" t="s">
        <v>6</v>
      </c>
      <c r="O202" s="22">
        <v>62</v>
      </c>
      <c r="P202" s="1">
        <v>38</v>
      </c>
      <c r="R202" t="s">
        <v>40</v>
      </c>
    </row>
    <row r="203" spans="1:18" x14ac:dyDescent="0.25">
      <c r="A203" t="s">
        <v>353</v>
      </c>
      <c r="B203" t="s">
        <v>47</v>
      </c>
      <c r="C203" t="s">
        <v>48</v>
      </c>
      <c r="D203" s="1" t="s">
        <v>873</v>
      </c>
      <c r="E203" t="s">
        <v>1393</v>
      </c>
      <c r="F203" t="s">
        <v>43</v>
      </c>
      <c r="G203" t="s">
        <v>12</v>
      </c>
      <c r="H203" t="s">
        <v>1913</v>
      </c>
      <c r="I203" t="s">
        <v>55</v>
      </c>
      <c r="J203" t="s">
        <v>2433</v>
      </c>
      <c r="K203" t="s">
        <v>5</v>
      </c>
      <c r="L203" s="22">
        <v>7</v>
      </c>
      <c r="M203" s="30">
        <v>0.15625</v>
      </c>
      <c r="N203" s="11" t="s">
        <v>6</v>
      </c>
      <c r="O203" s="1">
        <v>64</v>
      </c>
      <c r="P203" s="1">
        <v>10</v>
      </c>
      <c r="R203" t="s">
        <v>40</v>
      </c>
    </row>
    <row r="204" spans="1:18" x14ac:dyDescent="0.25">
      <c r="A204" t="s">
        <v>354</v>
      </c>
      <c r="B204" t="s">
        <v>60</v>
      </c>
      <c r="C204" t="s">
        <v>37</v>
      </c>
      <c r="D204" s="1" t="s">
        <v>874</v>
      </c>
      <c r="E204" t="s">
        <v>1394</v>
      </c>
      <c r="F204" t="s">
        <v>34</v>
      </c>
      <c r="G204" t="s">
        <v>8</v>
      </c>
      <c r="H204" t="s">
        <v>1914</v>
      </c>
      <c r="I204" t="s">
        <v>61</v>
      </c>
      <c r="J204" t="s">
        <v>2434</v>
      </c>
      <c r="K204" t="s">
        <v>5</v>
      </c>
      <c r="L204" s="22">
        <v>9</v>
      </c>
      <c r="M204" s="31">
        <v>0.41249999999999998</v>
      </c>
      <c r="N204" s="11" t="s">
        <v>6</v>
      </c>
      <c r="O204" s="22">
        <v>80</v>
      </c>
      <c r="P204" s="1">
        <v>33</v>
      </c>
      <c r="R204" t="s">
        <v>40</v>
      </c>
    </row>
    <row r="205" spans="1:18" x14ac:dyDescent="0.25">
      <c r="A205" t="s">
        <v>355</v>
      </c>
      <c r="B205" t="s">
        <v>51</v>
      </c>
      <c r="C205" t="s">
        <v>37</v>
      </c>
      <c r="D205" s="1" t="s">
        <v>875</v>
      </c>
      <c r="E205" t="s">
        <v>1395</v>
      </c>
      <c r="F205" t="s">
        <v>34</v>
      </c>
      <c r="G205" t="s">
        <v>12</v>
      </c>
      <c r="H205" t="s">
        <v>1915</v>
      </c>
      <c r="I205" t="s">
        <v>59</v>
      </c>
      <c r="J205" t="s">
        <v>2435</v>
      </c>
      <c r="K205" t="s">
        <v>5</v>
      </c>
      <c r="L205" s="22">
        <v>7</v>
      </c>
      <c r="M205" s="30">
        <v>0.82258064516129037</v>
      </c>
      <c r="N205" s="11" t="s">
        <v>6</v>
      </c>
      <c r="O205" s="1">
        <v>62</v>
      </c>
      <c r="P205" s="1">
        <v>51</v>
      </c>
      <c r="R205" t="s">
        <v>40</v>
      </c>
    </row>
    <row r="206" spans="1:18" x14ac:dyDescent="0.25">
      <c r="A206" t="s">
        <v>356</v>
      </c>
      <c r="B206" t="s">
        <v>53</v>
      </c>
      <c r="C206" t="s">
        <v>48</v>
      </c>
      <c r="D206" s="1" t="s">
        <v>876</v>
      </c>
      <c r="E206" t="s">
        <v>1396</v>
      </c>
      <c r="F206" t="s">
        <v>114</v>
      </c>
      <c r="G206" t="s">
        <v>12</v>
      </c>
      <c r="H206" t="s">
        <v>1916</v>
      </c>
      <c r="I206" t="s">
        <v>35</v>
      </c>
      <c r="J206" t="s">
        <v>2436</v>
      </c>
      <c r="K206" t="s">
        <v>5</v>
      </c>
      <c r="L206" s="22">
        <v>9</v>
      </c>
      <c r="M206" s="30">
        <v>1</v>
      </c>
      <c r="N206" s="11" t="s">
        <v>5</v>
      </c>
      <c r="O206" s="1">
        <v>106</v>
      </c>
      <c r="P206" s="1">
        <v>106</v>
      </c>
    </row>
    <row r="207" spans="1:18" x14ac:dyDescent="0.25">
      <c r="A207" t="s">
        <v>357</v>
      </c>
      <c r="B207" t="s">
        <v>51</v>
      </c>
      <c r="C207" t="s">
        <v>37</v>
      </c>
      <c r="D207" s="1" t="s">
        <v>877</v>
      </c>
      <c r="E207" t="s">
        <v>1397</v>
      </c>
      <c r="F207" t="s">
        <v>41</v>
      </c>
      <c r="G207" t="s">
        <v>12</v>
      </c>
      <c r="H207" t="s">
        <v>1917</v>
      </c>
      <c r="I207" t="s">
        <v>72</v>
      </c>
      <c r="J207" t="s">
        <v>2437</v>
      </c>
      <c r="K207" t="s">
        <v>5</v>
      </c>
      <c r="L207" s="22">
        <v>9</v>
      </c>
      <c r="M207" s="30">
        <v>1</v>
      </c>
      <c r="N207" s="11" t="s">
        <v>5</v>
      </c>
      <c r="O207" s="1">
        <v>80</v>
      </c>
      <c r="P207" s="1">
        <v>80</v>
      </c>
    </row>
    <row r="208" spans="1:18" x14ac:dyDescent="0.25">
      <c r="A208" t="s">
        <v>358</v>
      </c>
      <c r="B208" t="s">
        <v>62</v>
      </c>
      <c r="C208" t="s">
        <v>63</v>
      </c>
      <c r="D208" s="1" t="s">
        <v>878</v>
      </c>
      <c r="E208" t="s">
        <v>1398</v>
      </c>
      <c r="F208" t="s">
        <v>69</v>
      </c>
      <c r="G208" t="s">
        <v>12</v>
      </c>
      <c r="H208" t="s">
        <v>1918</v>
      </c>
      <c r="I208" t="s">
        <v>52</v>
      </c>
      <c r="J208" t="s">
        <v>2438</v>
      </c>
      <c r="K208" t="s">
        <v>5</v>
      </c>
      <c r="L208" s="22">
        <v>7</v>
      </c>
      <c r="M208" s="30">
        <v>1</v>
      </c>
      <c r="N208" s="11" t="s">
        <v>5</v>
      </c>
      <c r="O208" s="1">
        <v>82</v>
      </c>
      <c r="P208" s="1">
        <v>82</v>
      </c>
      <c r="R208" t="s">
        <v>40</v>
      </c>
    </row>
    <row r="209" spans="1:18" x14ac:dyDescent="0.25">
      <c r="A209" t="s">
        <v>359</v>
      </c>
      <c r="B209" t="s">
        <v>78</v>
      </c>
      <c r="C209" t="s">
        <v>79</v>
      </c>
      <c r="D209" s="1" t="s">
        <v>879</v>
      </c>
      <c r="E209" t="s">
        <v>1399</v>
      </c>
      <c r="F209" t="s">
        <v>34</v>
      </c>
      <c r="G209" t="s">
        <v>11</v>
      </c>
      <c r="H209" t="s">
        <v>1919</v>
      </c>
      <c r="I209" t="s">
        <v>46</v>
      </c>
      <c r="J209" t="s">
        <v>2439</v>
      </c>
      <c r="K209" t="s">
        <v>5</v>
      </c>
      <c r="L209" s="22">
        <v>5</v>
      </c>
      <c r="M209" s="30">
        <v>1</v>
      </c>
      <c r="N209" s="11" t="s">
        <v>5</v>
      </c>
      <c r="O209" s="1">
        <v>46</v>
      </c>
      <c r="P209" s="1">
        <v>46</v>
      </c>
      <c r="R209" t="s">
        <v>40</v>
      </c>
    </row>
    <row r="210" spans="1:18" x14ac:dyDescent="0.25">
      <c r="A210" t="s">
        <v>360</v>
      </c>
      <c r="B210" t="s">
        <v>67</v>
      </c>
      <c r="C210" t="s">
        <v>48</v>
      </c>
      <c r="D210" s="1" t="s">
        <v>880</v>
      </c>
      <c r="E210" t="s">
        <v>1400</v>
      </c>
      <c r="F210" t="s">
        <v>41</v>
      </c>
      <c r="G210" t="s">
        <v>12</v>
      </c>
      <c r="H210" t="s">
        <v>1920</v>
      </c>
      <c r="I210" t="s">
        <v>72</v>
      </c>
      <c r="J210" t="s">
        <v>2440</v>
      </c>
      <c r="K210" t="s">
        <v>5</v>
      </c>
      <c r="L210" s="22">
        <v>9</v>
      </c>
      <c r="M210" s="30">
        <v>1</v>
      </c>
      <c r="N210" s="11" t="s">
        <v>5</v>
      </c>
      <c r="O210" s="1">
        <v>84</v>
      </c>
      <c r="P210" s="1">
        <v>84</v>
      </c>
    </row>
    <row r="211" spans="1:18" x14ac:dyDescent="0.25">
      <c r="A211" t="s">
        <v>361</v>
      </c>
      <c r="B211" t="s">
        <v>53</v>
      </c>
      <c r="C211" t="s">
        <v>48</v>
      </c>
      <c r="D211" s="1" t="s">
        <v>881</v>
      </c>
      <c r="E211" t="s">
        <v>1401</v>
      </c>
      <c r="F211" t="s">
        <v>41</v>
      </c>
      <c r="G211" t="s">
        <v>12</v>
      </c>
      <c r="H211" t="s">
        <v>1921</v>
      </c>
      <c r="I211" t="s">
        <v>35</v>
      </c>
      <c r="J211" t="s">
        <v>2441</v>
      </c>
      <c r="K211" t="s">
        <v>5</v>
      </c>
      <c r="L211" s="22">
        <v>9</v>
      </c>
      <c r="M211" s="30">
        <v>0.32142857142857145</v>
      </c>
      <c r="N211" s="11" t="s">
        <v>6</v>
      </c>
      <c r="O211" s="1">
        <v>84</v>
      </c>
      <c r="P211" s="1">
        <v>27</v>
      </c>
      <c r="R211" t="s">
        <v>40</v>
      </c>
    </row>
    <row r="212" spans="1:18" x14ac:dyDescent="0.25">
      <c r="A212" t="s">
        <v>362</v>
      </c>
      <c r="B212" t="s">
        <v>60</v>
      </c>
      <c r="C212" t="s">
        <v>37</v>
      </c>
      <c r="D212" s="1" t="s">
        <v>882</v>
      </c>
      <c r="E212" t="s">
        <v>1402</v>
      </c>
      <c r="F212" t="s">
        <v>34</v>
      </c>
      <c r="G212" t="s">
        <v>8</v>
      </c>
      <c r="H212" t="s">
        <v>1922</v>
      </c>
      <c r="I212" t="s">
        <v>61</v>
      </c>
      <c r="J212" t="s">
        <v>2442</v>
      </c>
      <c r="K212" t="s">
        <v>5</v>
      </c>
      <c r="L212" s="22">
        <v>7</v>
      </c>
      <c r="M212" s="31">
        <v>1</v>
      </c>
      <c r="N212" s="11" t="s">
        <v>5</v>
      </c>
      <c r="O212" s="22">
        <v>78</v>
      </c>
      <c r="P212" s="1">
        <v>78</v>
      </c>
      <c r="R212" t="s">
        <v>40</v>
      </c>
    </row>
    <row r="213" spans="1:18" x14ac:dyDescent="0.25">
      <c r="A213" t="s">
        <v>363</v>
      </c>
      <c r="B213" t="s">
        <v>56</v>
      </c>
      <c r="C213" t="s">
        <v>57</v>
      </c>
      <c r="D213" s="1" t="s">
        <v>883</v>
      </c>
      <c r="E213" t="s">
        <v>1403</v>
      </c>
      <c r="F213" t="s">
        <v>34</v>
      </c>
      <c r="G213" t="s">
        <v>10</v>
      </c>
      <c r="H213" t="s">
        <v>1923</v>
      </c>
      <c r="I213" t="s">
        <v>106</v>
      </c>
      <c r="J213" t="s">
        <v>2443</v>
      </c>
      <c r="K213" t="s">
        <v>5</v>
      </c>
      <c r="L213" s="22">
        <v>18</v>
      </c>
      <c r="M213" s="30">
        <v>1</v>
      </c>
      <c r="N213" s="11" t="s">
        <v>5</v>
      </c>
      <c r="O213" s="1">
        <v>100</v>
      </c>
      <c r="P213" s="1">
        <v>100</v>
      </c>
      <c r="R213" t="s">
        <v>40</v>
      </c>
    </row>
    <row r="214" spans="1:18" x14ac:dyDescent="0.25">
      <c r="A214" t="s">
        <v>364</v>
      </c>
      <c r="B214" t="s">
        <v>99</v>
      </c>
      <c r="C214" t="s">
        <v>63</v>
      </c>
      <c r="D214" s="1" t="s">
        <v>884</v>
      </c>
      <c r="E214" t="s">
        <v>1404</v>
      </c>
      <c r="F214" t="s">
        <v>34</v>
      </c>
      <c r="G214" t="s">
        <v>11</v>
      </c>
      <c r="H214" t="s">
        <v>1924</v>
      </c>
      <c r="I214" t="s">
        <v>108</v>
      </c>
      <c r="J214" t="s">
        <v>2444</v>
      </c>
      <c r="K214" t="s">
        <v>5</v>
      </c>
      <c r="L214" s="22">
        <v>5</v>
      </c>
      <c r="M214" s="30">
        <v>1</v>
      </c>
      <c r="N214" s="11" t="s">
        <v>5</v>
      </c>
      <c r="O214" s="22">
        <v>62</v>
      </c>
      <c r="P214" s="1">
        <v>62</v>
      </c>
      <c r="R214" t="s">
        <v>40</v>
      </c>
    </row>
    <row r="215" spans="1:18" x14ac:dyDescent="0.25">
      <c r="A215" t="s">
        <v>365</v>
      </c>
      <c r="B215" t="s">
        <v>124</v>
      </c>
      <c r="C215" t="s">
        <v>37</v>
      </c>
      <c r="D215" s="1" t="s">
        <v>885</v>
      </c>
      <c r="E215" t="s">
        <v>1405</v>
      </c>
      <c r="F215" t="s">
        <v>38</v>
      </c>
      <c r="G215" t="s">
        <v>8</v>
      </c>
      <c r="H215" t="s">
        <v>1925</v>
      </c>
      <c r="I215" t="s">
        <v>125</v>
      </c>
      <c r="J215" t="s">
        <v>2445</v>
      </c>
      <c r="K215" t="s">
        <v>5</v>
      </c>
      <c r="L215" s="22">
        <v>7</v>
      </c>
      <c r="M215" s="31">
        <v>0.53846153846153844</v>
      </c>
      <c r="N215" s="11" t="s">
        <v>6</v>
      </c>
      <c r="O215" s="22">
        <v>52</v>
      </c>
      <c r="P215" s="1">
        <v>28</v>
      </c>
      <c r="R215" t="s">
        <v>40</v>
      </c>
    </row>
    <row r="216" spans="1:18" x14ac:dyDescent="0.25">
      <c r="A216" t="s">
        <v>366</v>
      </c>
      <c r="B216" t="s">
        <v>32</v>
      </c>
      <c r="C216" t="s">
        <v>33</v>
      </c>
      <c r="D216" s="1" t="s">
        <v>886</v>
      </c>
      <c r="E216" t="s">
        <v>1406</v>
      </c>
      <c r="F216" t="s">
        <v>49</v>
      </c>
      <c r="G216" t="s">
        <v>12</v>
      </c>
      <c r="H216" t="s">
        <v>1926</v>
      </c>
      <c r="I216" t="s">
        <v>55</v>
      </c>
      <c r="J216" t="s">
        <v>2446</v>
      </c>
      <c r="K216" t="s">
        <v>5</v>
      </c>
      <c r="L216" s="22">
        <v>7</v>
      </c>
      <c r="M216" s="30">
        <v>0.58536585365853655</v>
      </c>
      <c r="N216" s="11" t="s">
        <v>6</v>
      </c>
      <c r="O216" s="1">
        <v>82</v>
      </c>
      <c r="P216" s="1">
        <v>48</v>
      </c>
      <c r="R216" t="s">
        <v>40</v>
      </c>
    </row>
    <row r="217" spans="1:18" x14ac:dyDescent="0.25">
      <c r="A217" t="s">
        <v>367</v>
      </c>
      <c r="B217" t="s">
        <v>112</v>
      </c>
      <c r="C217" t="s">
        <v>85</v>
      </c>
      <c r="D217" s="1" t="s">
        <v>887</v>
      </c>
      <c r="E217" t="s">
        <v>1407</v>
      </c>
      <c r="F217" t="s">
        <v>34</v>
      </c>
      <c r="G217" t="s">
        <v>11</v>
      </c>
      <c r="H217" t="s">
        <v>1927</v>
      </c>
      <c r="I217" t="s">
        <v>46</v>
      </c>
      <c r="J217" t="s">
        <v>2447</v>
      </c>
      <c r="K217" t="s">
        <v>5</v>
      </c>
      <c r="L217" s="22">
        <v>6</v>
      </c>
      <c r="M217" s="30">
        <v>0.43076923076923079</v>
      </c>
      <c r="N217" s="11" t="s">
        <v>6</v>
      </c>
      <c r="O217" s="1">
        <v>65</v>
      </c>
      <c r="P217" s="1">
        <v>28</v>
      </c>
      <c r="R217" t="s">
        <v>40</v>
      </c>
    </row>
    <row r="218" spans="1:18" x14ac:dyDescent="0.25">
      <c r="A218" t="s">
        <v>368</v>
      </c>
      <c r="B218" t="s">
        <v>77</v>
      </c>
      <c r="C218" t="s">
        <v>57</v>
      </c>
      <c r="D218" s="1" t="s">
        <v>888</v>
      </c>
      <c r="E218" t="s">
        <v>1408</v>
      </c>
      <c r="F218" t="s">
        <v>34</v>
      </c>
      <c r="G218" t="s">
        <v>8</v>
      </c>
      <c r="H218" t="s">
        <v>1928</v>
      </c>
      <c r="I218" t="s">
        <v>61</v>
      </c>
      <c r="J218" t="s">
        <v>2448</v>
      </c>
      <c r="K218" t="s">
        <v>5</v>
      </c>
      <c r="L218" s="22">
        <v>5</v>
      </c>
      <c r="M218" s="31">
        <v>1</v>
      </c>
      <c r="N218" s="11" t="s">
        <v>5</v>
      </c>
      <c r="O218" s="22">
        <v>72</v>
      </c>
      <c r="P218" s="1">
        <v>72</v>
      </c>
      <c r="R218" t="s">
        <v>40</v>
      </c>
    </row>
    <row r="219" spans="1:18" x14ac:dyDescent="0.25">
      <c r="A219" t="s">
        <v>369</v>
      </c>
      <c r="B219" t="s">
        <v>53</v>
      </c>
      <c r="C219" t="s">
        <v>48</v>
      </c>
      <c r="D219" s="1" t="s">
        <v>889</v>
      </c>
      <c r="E219" t="s">
        <v>1409</v>
      </c>
      <c r="F219" t="s">
        <v>75</v>
      </c>
      <c r="G219" t="s">
        <v>12</v>
      </c>
      <c r="H219" t="s">
        <v>1929</v>
      </c>
      <c r="I219" t="s">
        <v>42</v>
      </c>
      <c r="J219" t="s">
        <v>2449</v>
      </c>
      <c r="K219" t="s">
        <v>5</v>
      </c>
      <c r="L219" s="22">
        <v>9</v>
      </c>
      <c r="M219" s="30">
        <v>1</v>
      </c>
      <c r="N219" s="11" t="s">
        <v>5</v>
      </c>
      <c r="O219" s="1">
        <v>84</v>
      </c>
      <c r="P219" s="1">
        <v>84</v>
      </c>
      <c r="R219" t="s">
        <v>40</v>
      </c>
    </row>
    <row r="220" spans="1:18" x14ac:dyDescent="0.25">
      <c r="A220" t="s">
        <v>370</v>
      </c>
      <c r="B220" t="s">
        <v>67</v>
      </c>
      <c r="C220" t="s">
        <v>48</v>
      </c>
      <c r="D220" s="1" t="s">
        <v>890</v>
      </c>
      <c r="E220" t="s">
        <v>1410</v>
      </c>
      <c r="F220" t="s">
        <v>34</v>
      </c>
      <c r="G220" t="s">
        <v>12</v>
      </c>
      <c r="H220" t="s">
        <v>1930</v>
      </c>
      <c r="I220" t="s">
        <v>64</v>
      </c>
      <c r="J220" t="s">
        <v>2450</v>
      </c>
      <c r="K220" t="s">
        <v>5</v>
      </c>
      <c r="L220" s="22">
        <v>9</v>
      </c>
      <c r="M220" s="30">
        <v>1</v>
      </c>
      <c r="N220" s="11" t="s">
        <v>5</v>
      </c>
      <c r="O220" s="1">
        <v>108</v>
      </c>
      <c r="P220" s="1">
        <v>108</v>
      </c>
    </row>
    <row r="221" spans="1:18" x14ac:dyDescent="0.25">
      <c r="A221" t="s">
        <v>371</v>
      </c>
      <c r="B221" t="s">
        <v>53</v>
      </c>
      <c r="C221" t="s">
        <v>48</v>
      </c>
      <c r="D221" s="1" t="s">
        <v>891</v>
      </c>
      <c r="E221" t="s">
        <v>1411</v>
      </c>
      <c r="F221" t="s">
        <v>49</v>
      </c>
      <c r="G221" t="s">
        <v>12</v>
      </c>
      <c r="H221" t="s">
        <v>1931</v>
      </c>
      <c r="I221" t="s">
        <v>103</v>
      </c>
      <c r="J221" t="s">
        <v>2451</v>
      </c>
      <c r="K221" t="s">
        <v>5</v>
      </c>
      <c r="L221" s="22">
        <v>9</v>
      </c>
      <c r="M221" s="31">
        <v>1</v>
      </c>
      <c r="N221" s="11" t="s">
        <v>5</v>
      </c>
      <c r="O221" s="1">
        <v>55</v>
      </c>
      <c r="P221" s="1">
        <v>55</v>
      </c>
      <c r="Q221" t="s">
        <v>44</v>
      </c>
      <c r="R221" t="s">
        <v>40</v>
      </c>
    </row>
    <row r="222" spans="1:18" x14ac:dyDescent="0.25">
      <c r="A222" t="s">
        <v>372</v>
      </c>
      <c r="B222" t="s">
        <v>53</v>
      </c>
      <c r="C222" t="s">
        <v>48</v>
      </c>
      <c r="D222" s="1" t="s">
        <v>892</v>
      </c>
      <c r="E222" t="s">
        <v>1412</v>
      </c>
      <c r="F222" t="s">
        <v>34</v>
      </c>
      <c r="G222" t="s">
        <v>12</v>
      </c>
      <c r="H222" t="s">
        <v>1932</v>
      </c>
      <c r="I222" t="s">
        <v>35</v>
      </c>
      <c r="J222" t="s">
        <v>2452</v>
      </c>
      <c r="K222" t="s">
        <v>5</v>
      </c>
      <c r="L222" s="22">
        <v>9</v>
      </c>
      <c r="M222" s="30">
        <v>0.35714285714285715</v>
      </c>
      <c r="N222" s="11" t="s">
        <v>6</v>
      </c>
      <c r="O222" s="1">
        <v>84</v>
      </c>
      <c r="P222" s="1">
        <v>30</v>
      </c>
    </row>
    <row r="223" spans="1:18" x14ac:dyDescent="0.25">
      <c r="A223" t="s">
        <v>373</v>
      </c>
      <c r="B223" t="s">
        <v>51</v>
      </c>
      <c r="C223" t="s">
        <v>37</v>
      </c>
      <c r="D223" s="1" t="s">
        <v>893</v>
      </c>
      <c r="E223" t="s">
        <v>1413</v>
      </c>
      <c r="F223" t="s">
        <v>43</v>
      </c>
      <c r="G223" t="s">
        <v>12</v>
      </c>
      <c r="H223" t="s">
        <v>1933</v>
      </c>
      <c r="I223" t="s">
        <v>103</v>
      </c>
      <c r="J223" t="s">
        <v>2453</v>
      </c>
      <c r="K223" t="s">
        <v>5</v>
      </c>
      <c r="L223" s="22">
        <v>9</v>
      </c>
      <c r="M223" s="31">
        <v>1</v>
      </c>
      <c r="N223" s="23" t="s">
        <v>5</v>
      </c>
      <c r="O223" s="1">
        <v>112</v>
      </c>
      <c r="P223" s="1">
        <v>112</v>
      </c>
      <c r="Q223" t="s">
        <v>44</v>
      </c>
      <c r="R223" t="s">
        <v>40</v>
      </c>
    </row>
    <row r="224" spans="1:18" x14ac:dyDescent="0.25">
      <c r="A224" t="s">
        <v>374</v>
      </c>
      <c r="B224" t="s">
        <v>73</v>
      </c>
      <c r="C224" t="s">
        <v>74</v>
      </c>
      <c r="D224" s="1" t="s">
        <v>894</v>
      </c>
      <c r="E224" t="s">
        <v>1414</v>
      </c>
      <c r="F224" t="s">
        <v>34</v>
      </c>
      <c r="G224" t="s">
        <v>12</v>
      </c>
      <c r="H224" t="s">
        <v>1934</v>
      </c>
      <c r="I224" t="s">
        <v>64</v>
      </c>
      <c r="J224" t="s">
        <v>2454</v>
      </c>
      <c r="K224" t="s">
        <v>5</v>
      </c>
      <c r="L224" s="22">
        <v>7</v>
      </c>
      <c r="M224" s="30">
        <v>1</v>
      </c>
      <c r="N224" s="11" t="s">
        <v>5</v>
      </c>
      <c r="O224" s="1">
        <v>92</v>
      </c>
      <c r="P224" s="1">
        <v>92</v>
      </c>
    </row>
    <row r="225" spans="1:18" x14ac:dyDescent="0.25">
      <c r="A225" t="s">
        <v>375</v>
      </c>
      <c r="B225" t="s">
        <v>32</v>
      </c>
      <c r="C225" t="s">
        <v>33</v>
      </c>
      <c r="D225" s="1" t="s">
        <v>895</v>
      </c>
      <c r="E225" t="s">
        <v>1415</v>
      </c>
      <c r="F225" t="s">
        <v>49</v>
      </c>
      <c r="G225" t="s">
        <v>12</v>
      </c>
      <c r="H225" t="s">
        <v>1935</v>
      </c>
      <c r="I225" t="s">
        <v>42</v>
      </c>
      <c r="J225" t="s">
        <v>2455</v>
      </c>
      <c r="K225" t="s">
        <v>5</v>
      </c>
      <c r="L225" s="22">
        <v>7</v>
      </c>
      <c r="M225" s="30">
        <v>1</v>
      </c>
      <c r="N225" s="11" t="s">
        <v>5</v>
      </c>
      <c r="O225" s="1">
        <v>52</v>
      </c>
      <c r="P225" s="1">
        <v>52</v>
      </c>
      <c r="R225" t="s">
        <v>40</v>
      </c>
    </row>
    <row r="226" spans="1:18" x14ac:dyDescent="0.25">
      <c r="A226" t="s">
        <v>376</v>
      </c>
      <c r="B226" t="s">
        <v>99</v>
      </c>
      <c r="C226" t="s">
        <v>63</v>
      </c>
      <c r="D226" s="1" t="s">
        <v>896</v>
      </c>
      <c r="E226" t="s">
        <v>1416</v>
      </c>
      <c r="F226" t="s">
        <v>41</v>
      </c>
      <c r="G226" t="s">
        <v>11</v>
      </c>
      <c r="H226" t="s">
        <v>1936</v>
      </c>
      <c r="I226" t="s">
        <v>46</v>
      </c>
      <c r="J226" t="s">
        <v>2456</v>
      </c>
      <c r="K226" t="s">
        <v>5</v>
      </c>
      <c r="L226" s="22">
        <v>6</v>
      </c>
      <c r="M226" s="30">
        <v>1</v>
      </c>
      <c r="N226" s="11" t="s">
        <v>5</v>
      </c>
      <c r="O226" s="1">
        <v>97</v>
      </c>
      <c r="P226" s="1">
        <v>97</v>
      </c>
    </row>
    <row r="227" spans="1:18" x14ac:dyDescent="0.25">
      <c r="A227" t="s">
        <v>377</v>
      </c>
      <c r="B227" t="s">
        <v>47</v>
      </c>
      <c r="C227" t="s">
        <v>48</v>
      </c>
      <c r="D227" s="1" t="s">
        <v>897</v>
      </c>
      <c r="E227" t="s">
        <v>1417</v>
      </c>
      <c r="F227" t="s">
        <v>43</v>
      </c>
      <c r="G227" t="s">
        <v>12</v>
      </c>
      <c r="H227" t="s">
        <v>1937</v>
      </c>
      <c r="I227" t="s">
        <v>55</v>
      </c>
      <c r="J227" t="s">
        <v>2457</v>
      </c>
      <c r="K227" t="s">
        <v>5</v>
      </c>
      <c r="L227" s="22">
        <v>7</v>
      </c>
      <c r="M227" s="30">
        <v>0.41935483870967744</v>
      </c>
      <c r="N227" s="11" t="s">
        <v>6</v>
      </c>
      <c r="O227" s="22">
        <v>62</v>
      </c>
      <c r="P227" s="1">
        <v>26</v>
      </c>
      <c r="R227" t="s">
        <v>40</v>
      </c>
    </row>
    <row r="228" spans="1:18" x14ac:dyDescent="0.25">
      <c r="A228" t="s">
        <v>378</v>
      </c>
      <c r="B228" t="s">
        <v>90</v>
      </c>
      <c r="C228" t="s">
        <v>91</v>
      </c>
      <c r="D228" s="1" t="s">
        <v>898</v>
      </c>
      <c r="E228" t="s">
        <v>1418</v>
      </c>
      <c r="F228" t="s">
        <v>75</v>
      </c>
      <c r="G228" t="s">
        <v>8</v>
      </c>
      <c r="H228" t="s">
        <v>1938</v>
      </c>
      <c r="I228" t="s">
        <v>61</v>
      </c>
      <c r="J228" t="s">
        <v>2458</v>
      </c>
      <c r="K228" t="s">
        <v>5</v>
      </c>
      <c r="L228" s="22">
        <v>7</v>
      </c>
      <c r="M228" s="30">
        <v>0.28125</v>
      </c>
      <c r="N228" s="11" t="s">
        <v>6</v>
      </c>
      <c r="O228" s="1">
        <v>64</v>
      </c>
      <c r="P228" s="1">
        <v>18</v>
      </c>
      <c r="R228" t="s">
        <v>40</v>
      </c>
    </row>
    <row r="229" spans="1:18" x14ac:dyDescent="0.25">
      <c r="A229" t="s">
        <v>379</v>
      </c>
      <c r="B229" t="s">
        <v>60</v>
      </c>
      <c r="C229" t="s">
        <v>37</v>
      </c>
      <c r="D229" s="1" t="s">
        <v>899</v>
      </c>
      <c r="E229" t="s">
        <v>1419</v>
      </c>
      <c r="F229" t="s">
        <v>34</v>
      </c>
      <c r="G229" t="s">
        <v>8</v>
      </c>
      <c r="H229" t="s">
        <v>1939</v>
      </c>
      <c r="I229" t="s">
        <v>61</v>
      </c>
      <c r="J229" t="s">
        <v>2459</v>
      </c>
      <c r="K229" t="s">
        <v>5</v>
      </c>
      <c r="L229" s="22">
        <v>7</v>
      </c>
      <c r="M229" s="31">
        <v>1</v>
      </c>
      <c r="N229" s="11" t="s">
        <v>5</v>
      </c>
      <c r="O229" s="22">
        <v>78</v>
      </c>
      <c r="P229" s="1">
        <v>78</v>
      </c>
      <c r="R229" t="s">
        <v>40</v>
      </c>
    </row>
    <row r="230" spans="1:18" x14ac:dyDescent="0.25">
      <c r="A230" t="s">
        <v>380</v>
      </c>
      <c r="B230" t="s">
        <v>67</v>
      </c>
      <c r="C230" t="s">
        <v>48</v>
      </c>
      <c r="D230" s="1" t="s">
        <v>900</v>
      </c>
      <c r="E230" t="s">
        <v>1420</v>
      </c>
      <c r="F230" t="s">
        <v>43</v>
      </c>
      <c r="G230" t="s">
        <v>12</v>
      </c>
      <c r="H230" t="s">
        <v>1940</v>
      </c>
      <c r="I230" t="s">
        <v>126</v>
      </c>
      <c r="J230" t="s">
        <v>2460</v>
      </c>
      <c r="K230" t="s">
        <v>5</v>
      </c>
      <c r="L230" s="22">
        <v>7</v>
      </c>
      <c r="M230" s="31">
        <v>1</v>
      </c>
      <c r="N230" s="11" t="s">
        <v>5</v>
      </c>
      <c r="O230" s="22">
        <v>58</v>
      </c>
      <c r="P230" s="1">
        <v>58</v>
      </c>
      <c r="R230" t="s">
        <v>40</v>
      </c>
    </row>
    <row r="231" spans="1:18" x14ac:dyDescent="0.25">
      <c r="A231" t="s">
        <v>381</v>
      </c>
      <c r="B231" t="s">
        <v>112</v>
      </c>
      <c r="C231" t="s">
        <v>85</v>
      </c>
      <c r="D231" s="1" t="s">
        <v>901</v>
      </c>
      <c r="E231" t="s">
        <v>1421</v>
      </c>
      <c r="F231" t="s">
        <v>75</v>
      </c>
      <c r="G231" t="s">
        <v>11</v>
      </c>
      <c r="H231" t="s">
        <v>1941</v>
      </c>
      <c r="I231" t="s">
        <v>46</v>
      </c>
      <c r="J231" t="s">
        <v>2461</v>
      </c>
      <c r="K231" t="s">
        <v>5</v>
      </c>
      <c r="L231" s="22">
        <v>7</v>
      </c>
      <c r="M231" s="30">
        <v>1</v>
      </c>
      <c r="N231" s="11" t="s">
        <v>5</v>
      </c>
      <c r="O231" s="1">
        <v>78</v>
      </c>
      <c r="P231" s="1">
        <v>78</v>
      </c>
    </row>
    <row r="232" spans="1:18" x14ac:dyDescent="0.25">
      <c r="A232" t="s">
        <v>382</v>
      </c>
      <c r="B232" t="s">
        <v>90</v>
      </c>
      <c r="C232" t="s">
        <v>91</v>
      </c>
      <c r="D232" s="1" t="s">
        <v>902</v>
      </c>
      <c r="E232" t="s">
        <v>1422</v>
      </c>
      <c r="F232" t="s">
        <v>34</v>
      </c>
      <c r="G232" t="s">
        <v>8</v>
      </c>
      <c r="H232" t="s">
        <v>1942</v>
      </c>
      <c r="I232" t="s">
        <v>61</v>
      </c>
      <c r="J232" t="s">
        <v>2462</v>
      </c>
      <c r="K232" t="s">
        <v>5</v>
      </c>
      <c r="L232" s="22">
        <v>7</v>
      </c>
      <c r="M232" s="31">
        <v>1</v>
      </c>
      <c r="N232" s="11" t="s">
        <v>5</v>
      </c>
      <c r="O232" s="22">
        <v>64</v>
      </c>
      <c r="P232" s="1">
        <v>64</v>
      </c>
      <c r="R232" t="s">
        <v>40</v>
      </c>
    </row>
    <row r="233" spans="1:18" x14ac:dyDescent="0.25">
      <c r="A233" t="s">
        <v>383</v>
      </c>
      <c r="B233" t="s">
        <v>67</v>
      </c>
      <c r="C233" t="s">
        <v>48</v>
      </c>
      <c r="D233" s="1" t="s">
        <v>903</v>
      </c>
      <c r="E233" t="s">
        <v>1423</v>
      </c>
      <c r="F233" t="s">
        <v>34</v>
      </c>
      <c r="G233" t="s">
        <v>12</v>
      </c>
      <c r="H233" t="s">
        <v>1943</v>
      </c>
      <c r="I233" t="s">
        <v>42</v>
      </c>
      <c r="J233" t="s">
        <v>2463</v>
      </c>
      <c r="K233" t="s">
        <v>5</v>
      </c>
      <c r="L233" s="22">
        <v>9</v>
      </c>
      <c r="M233" s="30">
        <v>0.22857142857142856</v>
      </c>
      <c r="N233" s="11" t="s">
        <v>6</v>
      </c>
      <c r="O233" s="1">
        <v>70</v>
      </c>
      <c r="P233" s="1">
        <v>16</v>
      </c>
    </row>
    <row r="234" spans="1:18" x14ac:dyDescent="0.25">
      <c r="A234" t="s">
        <v>384</v>
      </c>
      <c r="B234" t="s">
        <v>47</v>
      </c>
      <c r="C234" t="s">
        <v>48</v>
      </c>
      <c r="D234" s="1" t="s">
        <v>904</v>
      </c>
      <c r="E234" t="s">
        <v>1424</v>
      </c>
      <c r="F234" t="s">
        <v>43</v>
      </c>
      <c r="G234" t="s">
        <v>12</v>
      </c>
      <c r="H234" t="s">
        <v>1944</v>
      </c>
      <c r="I234" t="s">
        <v>35</v>
      </c>
      <c r="J234" t="s">
        <v>2464</v>
      </c>
      <c r="K234" t="s">
        <v>5</v>
      </c>
      <c r="L234" s="22">
        <v>7</v>
      </c>
      <c r="M234" s="31">
        <v>1</v>
      </c>
      <c r="N234" s="11" t="s">
        <v>5</v>
      </c>
      <c r="O234" s="22">
        <v>64</v>
      </c>
      <c r="P234" s="1">
        <v>64</v>
      </c>
      <c r="R234" t="s">
        <v>40</v>
      </c>
    </row>
    <row r="235" spans="1:18" x14ac:dyDescent="0.25">
      <c r="A235" t="s">
        <v>385</v>
      </c>
      <c r="B235" t="s">
        <v>83</v>
      </c>
      <c r="C235" t="s">
        <v>57</v>
      </c>
      <c r="D235" s="1" t="s">
        <v>905</v>
      </c>
      <c r="E235" t="s">
        <v>1425</v>
      </c>
      <c r="F235" t="s">
        <v>34</v>
      </c>
      <c r="G235" t="s">
        <v>12</v>
      </c>
      <c r="H235" t="s">
        <v>1945</v>
      </c>
      <c r="I235" t="s">
        <v>64</v>
      </c>
      <c r="J235" t="s">
        <v>2465</v>
      </c>
      <c r="K235" t="s">
        <v>5</v>
      </c>
      <c r="L235" s="22">
        <v>9</v>
      </c>
      <c r="M235" s="30">
        <v>0.35849056603773582</v>
      </c>
      <c r="N235" s="11" t="s">
        <v>6</v>
      </c>
      <c r="O235" s="1">
        <v>106</v>
      </c>
      <c r="P235" s="1">
        <v>38</v>
      </c>
      <c r="R235" t="s">
        <v>40</v>
      </c>
    </row>
    <row r="236" spans="1:18" x14ac:dyDescent="0.25">
      <c r="A236" t="s">
        <v>386</v>
      </c>
      <c r="B236" t="s">
        <v>88</v>
      </c>
      <c r="C236" t="s">
        <v>48</v>
      </c>
      <c r="D236" s="1" t="s">
        <v>906</v>
      </c>
      <c r="E236" t="s">
        <v>1426</v>
      </c>
      <c r="F236" t="s">
        <v>127</v>
      </c>
      <c r="G236" t="s">
        <v>12</v>
      </c>
      <c r="H236" t="s">
        <v>1946</v>
      </c>
      <c r="I236" t="s">
        <v>35</v>
      </c>
      <c r="J236" t="s">
        <v>2466</v>
      </c>
      <c r="K236" t="s">
        <v>5</v>
      </c>
      <c r="L236" s="22">
        <v>9</v>
      </c>
      <c r="M236" s="30">
        <v>1</v>
      </c>
      <c r="N236" s="11" t="s">
        <v>5</v>
      </c>
      <c r="O236" s="1">
        <v>108</v>
      </c>
      <c r="P236" s="1">
        <v>108</v>
      </c>
      <c r="R236" t="s">
        <v>40</v>
      </c>
    </row>
    <row r="237" spans="1:18" x14ac:dyDescent="0.25">
      <c r="A237" t="s">
        <v>387</v>
      </c>
      <c r="B237" t="s">
        <v>128</v>
      </c>
      <c r="C237" t="s">
        <v>128</v>
      </c>
      <c r="D237" s="1" t="s">
        <v>907</v>
      </c>
      <c r="E237" t="s">
        <v>1427</v>
      </c>
      <c r="F237" t="s">
        <v>49</v>
      </c>
      <c r="G237" t="s">
        <v>12</v>
      </c>
      <c r="H237" t="s">
        <v>1947</v>
      </c>
      <c r="I237" t="s">
        <v>42</v>
      </c>
      <c r="J237" t="s">
        <v>2467</v>
      </c>
      <c r="K237" t="s">
        <v>5</v>
      </c>
      <c r="L237" s="22">
        <v>9</v>
      </c>
      <c r="M237" s="30">
        <v>1</v>
      </c>
      <c r="N237" s="11" t="s">
        <v>5</v>
      </c>
      <c r="O237" s="22">
        <v>118</v>
      </c>
      <c r="P237" s="1">
        <v>118</v>
      </c>
      <c r="R237" t="s">
        <v>40</v>
      </c>
    </row>
    <row r="238" spans="1:18" x14ac:dyDescent="0.25">
      <c r="A238" t="s">
        <v>388</v>
      </c>
      <c r="B238" t="s">
        <v>53</v>
      </c>
      <c r="C238" t="s">
        <v>48</v>
      </c>
      <c r="D238" s="1" t="s">
        <v>908</v>
      </c>
      <c r="E238" t="s">
        <v>1428</v>
      </c>
      <c r="F238" t="s">
        <v>34</v>
      </c>
      <c r="G238" t="s">
        <v>12</v>
      </c>
      <c r="H238" t="s">
        <v>1948</v>
      </c>
      <c r="I238" t="s">
        <v>68</v>
      </c>
      <c r="J238" t="s">
        <v>2468</v>
      </c>
      <c r="K238" t="s">
        <v>5</v>
      </c>
      <c r="L238" s="22">
        <v>7</v>
      </c>
      <c r="M238" s="31">
        <v>1</v>
      </c>
      <c r="N238" s="11" t="s">
        <v>5</v>
      </c>
      <c r="O238" s="22">
        <v>78</v>
      </c>
      <c r="P238" s="1">
        <v>78</v>
      </c>
      <c r="R238" t="s">
        <v>40</v>
      </c>
    </row>
    <row r="239" spans="1:18" x14ac:dyDescent="0.25">
      <c r="A239" t="s">
        <v>389</v>
      </c>
      <c r="B239" t="s">
        <v>88</v>
      </c>
      <c r="C239" t="s">
        <v>48</v>
      </c>
      <c r="D239" s="1" t="s">
        <v>909</v>
      </c>
      <c r="E239" t="s">
        <v>1429</v>
      </c>
      <c r="F239" t="s">
        <v>49</v>
      </c>
      <c r="G239" t="s">
        <v>12</v>
      </c>
      <c r="H239" t="s">
        <v>1949</v>
      </c>
      <c r="I239" t="s">
        <v>129</v>
      </c>
      <c r="J239" t="s">
        <v>2469</v>
      </c>
      <c r="K239" t="s">
        <v>5</v>
      </c>
      <c r="L239" s="22">
        <v>9</v>
      </c>
      <c r="M239" s="30">
        <v>0.83333333333333337</v>
      </c>
      <c r="N239" s="11" t="s">
        <v>6</v>
      </c>
      <c r="O239" s="1">
        <v>120</v>
      </c>
      <c r="P239" s="1">
        <v>100</v>
      </c>
      <c r="R239" t="s">
        <v>40</v>
      </c>
    </row>
    <row r="240" spans="1:18" x14ac:dyDescent="0.25">
      <c r="A240" t="s">
        <v>390</v>
      </c>
      <c r="B240" t="s">
        <v>60</v>
      </c>
      <c r="C240" t="s">
        <v>37</v>
      </c>
      <c r="D240" s="1" t="s">
        <v>910</v>
      </c>
      <c r="E240" t="s">
        <v>1430</v>
      </c>
      <c r="F240" t="s">
        <v>34</v>
      </c>
      <c r="G240" t="s">
        <v>8</v>
      </c>
      <c r="H240" t="s">
        <v>1950</v>
      </c>
      <c r="I240" t="s">
        <v>92</v>
      </c>
      <c r="J240" t="s">
        <v>2470</v>
      </c>
      <c r="K240" t="s">
        <v>5</v>
      </c>
      <c r="L240" s="22">
        <v>9</v>
      </c>
      <c r="M240" s="31">
        <v>1</v>
      </c>
      <c r="N240" s="11" t="s">
        <v>5</v>
      </c>
      <c r="O240" s="22">
        <v>86</v>
      </c>
      <c r="P240" s="1">
        <v>86</v>
      </c>
      <c r="R240" t="s">
        <v>40</v>
      </c>
    </row>
    <row r="241" spans="1:18" x14ac:dyDescent="0.25">
      <c r="A241" t="s">
        <v>391</v>
      </c>
      <c r="B241" t="s">
        <v>32</v>
      </c>
      <c r="C241" t="s">
        <v>33</v>
      </c>
      <c r="D241" s="1" t="s">
        <v>911</v>
      </c>
      <c r="E241" t="s">
        <v>1431</v>
      </c>
      <c r="F241" t="s">
        <v>34</v>
      </c>
      <c r="G241" t="s">
        <v>12</v>
      </c>
      <c r="H241" t="s">
        <v>1951</v>
      </c>
      <c r="I241" t="s">
        <v>42</v>
      </c>
      <c r="J241" t="s">
        <v>2471</v>
      </c>
      <c r="K241" t="s">
        <v>5</v>
      </c>
      <c r="L241" s="22">
        <v>7</v>
      </c>
      <c r="M241" s="31">
        <v>1</v>
      </c>
      <c r="N241" s="11" t="s">
        <v>5</v>
      </c>
      <c r="O241" s="22">
        <v>66</v>
      </c>
      <c r="P241" s="1">
        <v>66</v>
      </c>
      <c r="R241" t="s">
        <v>40</v>
      </c>
    </row>
    <row r="242" spans="1:18" x14ac:dyDescent="0.25">
      <c r="A242" t="s">
        <v>392</v>
      </c>
      <c r="B242" t="s">
        <v>32</v>
      </c>
      <c r="C242" t="s">
        <v>33</v>
      </c>
      <c r="D242" s="1" t="s">
        <v>912</v>
      </c>
      <c r="E242" t="s">
        <v>1432</v>
      </c>
      <c r="F242" t="s">
        <v>34</v>
      </c>
      <c r="G242" t="s">
        <v>12</v>
      </c>
      <c r="H242" t="s">
        <v>1952</v>
      </c>
      <c r="I242" t="s">
        <v>103</v>
      </c>
      <c r="J242" t="s">
        <v>2472</v>
      </c>
      <c r="K242" t="s">
        <v>5</v>
      </c>
      <c r="L242" s="22">
        <v>7</v>
      </c>
      <c r="M242" s="30">
        <v>1</v>
      </c>
      <c r="N242" s="11" t="s">
        <v>5</v>
      </c>
      <c r="O242" s="1">
        <v>82</v>
      </c>
      <c r="P242" s="1">
        <v>82</v>
      </c>
    </row>
    <row r="243" spans="1:18" x14ac:dyDescent="0.25">
      <c r="A243" t="s">
        <v>393</v>
      </c>
      <c r="B243" t="s">
        <v>53</v>
      </c>
      <c r="C243" t="s">
        <v>48</v>
      </c>
      <c r="D243" s="1" t="s">
        <v>913</v>
      </c>
      <c r="E243" t="s">
        <v>1433</v>
      </c>
      <c r="F243" t="s">
        <v>69</v>
      </c>
      <c r="G243" t="s">
        <v>12</v>
      </c>
      <c r="H243" t="s">
        <v>1953</v>
      </c>
      <c r="I243" t="s">
        <v>54</v>
      </c>
      <c r="J243" t="s">
        <v>2473</v>
      </c>
      <c r="K243" t="s">
        <v>5</v>
      </c>
      <c r="L243" s="22">
        <v>9</v>
      </c>
      <c r="M243" s="30">
        <v>1</v>
      </c>
      <c r="N243" s="11" t="s">
        <v>5</v>
      </c>
      <c r="O243" s="1">
        <v>84</v>
      </c>
      <c r="P243" s="1">
        <v>84</v>
      </c>
      <c r="R243" t="s">
        <v>40</v>
      </c>
    </row>
    <row r="244" spans="1:18" x14ac:dyDescent="0.25">
      <c r="A244" t="s">
        <v>394</v>
      </c>
      <c r="B244" t="s">
        <v>67</v>
      </c>
      <c r="C244" t="s">
        <v>48</v>
      </c>
      <c r="D244" s="1" t="s">
        <v>914</v>
      </c>
      <c r="E244" t="s">
        <v>1434</v>
      </c>
      <c r="F244" t="s">
        <v>34</v>
      </c>
      <c r="G244" t="s">
        <v>12</v>
      </c>
      <c r="H244" t="s">
        <v>1954</v>
      </c>
      <c r="I244" t="s">
        <v>64</v>
      </c>
      <c r="J244" t="s">
        <v>2474</v>
      </c>
      <c r="K244" t="s">
        <v>5</v>
      </c>
      <c r="L244" s="22">
        <v>7</v>
      </c>
      <c r="M244" s="31">
        <v>1</v>
      </c>
      <c r="N244" s="11" t="s">
        <v>5</v>
      </c>
      <c r="O244" s="22">
        <v>84</v>
      </c>
      <c r="P244" s="1">
        <v>84</v>
      </c>
      <c r="R244" t="s">
        <v>40</v>
      </c>
    </row>
    <row r="245" spans="1:18" x14ac:dyDescent="0.25">
      <c r="A245" t="s">
        <v>395</v>
      </c>
      <c r="B245" t="s">
        <v>53</v>
      </c>
      <c r="C245" t="s">
        <v>48</v>
      </c>
      <c r="D245" s="1" t="s">
        <v>915</v>
      </c>
      <c r="E245" t="s">
        <v>1435</v>
      </c>
      <c r="F245" t="s">
        <v>34</v>
      </c>
      <c r="G245" t="s">
        <v>12</v>
      </c>
      <c r="H245" t="s">
        <v>1955</v>
      </c>
      <c r="I245" t="s">
        <v>35</v>
      </c>
      <c r="J245" t="s">
        <v>2475</v>
      </c>
      <c r="K245" t="s">
        <v>5</v>
      </c>
      <c r="L245" s="22">
        <v>7</v>
      </c>
      <c r="M245" s="30">
        <v>0.296875</v>
      </c>
      <c r="N245" s="11" t="s">
        <v>6</v>
      </c>
      <c r="O245" s="1">
        <v>64</v>
      </c>
      <c r="P245" s="1">
        <v>19</v>
      </c>
    </row>
    <row r="246" spans="1:18" x14ac:dyDescent="0.25">
      <c r="A246" t="s">
        <v>396</v>
      </c>
      <c r="B246" t="s">
        <v>88</v>
      </c>
      <c r="C246" t="s">
        <v>48</v>
      </c>
      <c r="D246" s="1" t="s">
        <v>916</v>
      </c>
      <c r="E246" t="s">
        <v>1436</v>
      </c>
      <c r="F246" t="s">
        <v>89</v>
      </c>
      <c r="G246" t="s">
        <v>12</v>
      </c>
      <c r="H246" t="s">
        <v>1956</v>
      </c>
      <c r="I246" t="s">
        <v>35</v>
      </c>
      <c r="J246" t="s">
        <v>2476</v>
      </c>
      <c r="K246" t="s">
        <v>5</v>
      </c>
      <c r="L246" s="22">
        <v>7</v>
      </c>
      <c r="M246" s="30">
        <v>1</v>
      </c>
      <c r="N246" s="11" t="s">
        <v>5</v>
      </c>
      <c r="O246" s="1">
        <v>64</v>
      </c>
      <c r="P246" s="1">
        <v>64</v>
      </c>
      <c r="R246" t="s">
        <v>40</v>
      </c>
    </row>
    <row r="247" spans="1:18" x14ac:dyDescent="0.25">
      <c r="A247" t="s">
        <v>397</v>
      </c>
      <c r="B247" t="s">
        <v>130</v>
      </c>
      <c r="C247" t="s">
        <v>63</v>
      </c>
      <c r="D247" s="1" t="s">
        <v>917</v>
      </c>
      <c r="E247" t="s">
        <v>1437</v>
      </c>
      <c r="F247" t="s">
        <v>38</v>
      </c>
      <c r="G247" t="s">
        <v>11</v>
      </c>
      <c r="H247" t="s">
        <v>1957</v>
      </c>
      <c r="I247" t="s">
        <v>66</v>
      </c>
      <c r="J247" t="s">
        <v>2477</v>
      </c>
      <c r="K247" t="s">
        <v>5</v>
      </c>
      <c r="L247" s="22">
        <v>4</v>
      </c>
      <c r="M247" s="30">
        <v>1</v>
      </c>
      <c r="N247" s="11" t="s">
        <v>5</v>
      </c>
      <c r="O247" s="22">
        <v>75</v>
      </c>
      <c r="P247" s="1">
        <v>75</v>
      </c>
      <c r="R247" t="s">
        <v>40</v>
      </c>
    </row>
    <row r="248" spans="1:18" x14ac:dyDescent="0.25">
      <c r="A248" t="s">
        <v>398</v>
      </c>
      <c r="B248" t="s">
        <v>78</v>
      </c>
      <c r="C248" t="s">
        <v>79</v>
      </c>
      <c r="D248" s="1" t="s">
        <v>918</v>
      </c>
      <c r="E248" t="s">
        <v>1438</v>
      </c>
      <c r="F248" t="s">
        <v>34</v>
      </c>
      <c r="G248" t="s">
        <v>9</v>
      </c>
      <c r="H248" t="s">
        <v>1958</v>
      </c>
      <c r="I248" t="s">
        <v>131</v>
      </c>
      <c r="J248" t="s">
        <v>2478</v>
      </c>
      <c r="K248" t="s">
        <v>5</v>
      </c>
      <c r="L248" s="22">
        <v>7</v>
      </c>
      <c r="M248" s="30">
        <v>1</v>
      </c>
      <c r="N248" s="11" t="s">
        <v>5</v>
      </c>
      <c r="O248" s="1">
        <v>83</v>
      </c>
      <c r="P248" s="1">
        <v>83</v>
      </c>
      <c r="Q248" t="s">
        <v>44</v>
      </c>
      <c r="R248" t="s">
        <v>40</v>
      </c>
    </row>
    <row r="249" spans="1:18" x14ac:dyDescent="0.25">
      <c r="A249" t="s">
        <v>399</v>
      </c>
      <c r="B249" t="s">
        <v>51</v>
      </c>
      <c r="C249" t="s">
        <v>37</v>
      </c>
      <c r="D249" s="1" t="s">
        <v>919</v>
      </c>
      <c r="E249" t="s">
        <v>1439</v>
      </c>
      <c r="F249" t="s">
        <v>43</v>
      </c>
      <c r="G249" t="s">
        <v>12</v>
      </c>
      <c r="H249" t="s">
        <v>1959</v>
      </c>
      <c r="I249" t="s">
        <v>72</v>
      </c>
      <c r="J249" t="s">
        <v>2479</v>
      </c>
      <c r="K249" t="s">
        <v>5</v>
      </c>
      <c r="L249" s="22">
        <v>9</v>
      </c>
      <c r="M249" s="31">
        <v>1</v>
      </c>
      <c r="N249" s="11" t="s">
        <v>5</v>
      </c>
      <c r="O249" s="22">
        <v>78</v>
      </c>
      <c r="P249" s="1">
        <v>78</v>
      </c>
      <c r="R249" t="s">
        <v>40</v>
      </c>
    </row>
    <row r="250" spans="1:18" x14ac:dyDescent="0.25">
      <c r="A250" t="s">
        <v>400</v>
      </c>
      <c r="B250" t="s">
        <v>83</v>
      </c>
      <c r="C250" t="s">
        <v>57</v>
      </c>
      <c r="D250" s="1" t="s">
        <v>920</v>
      </c>
      <c r="E250" t="s">
        <v>1440</v>
      </c>
      <c r="F250" t="s">
        <v>34</v>
      </c>
      <c r="G250" t="s">
        <v>11</v>
      </c>
      <c r="H250" t="s">
        <v>1960</v>
      </c>
      <c r="I250" t="s">
        <v>100</v>
      </c>
      <c r="J250" t="s">
        <v>2480</v>
      </c>
      <c r="K250" t="s">
        <v>5</v>
      </c>
      <c r="L250" s="22">
        <v>7</v>
      </c>
      <c r="M250" s="31">
        <v>1</v>
      </c>
      <c r="N250" s="11" t="s">
        <v>5</v>
      </c>
      <c r="O250" s="22">
        <v>78</v>
      </c>
      <c r="P250" s="1">
        <v>78</v>
      </c>
      <c r="R250" t="s">
        <v>40</v>
      </c>
    </row>
    <row r="251" spans="1:18" x14ac:dyDescent="0.25">
      <c r="A251" t="s">
        <v>401</v>
      </c>
      <c r="B251" t="s">
        <v>32</v>
      </c>
      <c r="C251" t="s">
        <v>33</v>
      </c>
      <c r="D251" s="1" t="s">
        <v>921</v>
      </c>
      <c r="E251" t="s">
        <v>1441</v>
      </c>
      <c r="F251" t="s">
        <v>34</v>
      </c>
      <c r="G251" t="s">
        <v>12</v>
      </c>
      <c r="H251" t="s">
        <v>1961</v>
      </c>
      <c r="I251" t="s">
        <v>42</v>
      </c>
      <c r="J251" t="s">
        <v>2481</v>
      </c>
      <c r="K251" t="s">
        <v>5</v>
      </c>
      <c r="L251" s="22">
        <v>7</v>
      </c>
      <c r="M251" s="31">
        <v>1</v>
      </c>
      <c r="N251" s="11" t="s">
        <v>5</v>
      </c>
      <c r="O251" s="22">
        <v>82</v>
      </c>
      <c r="P251" s="1">
        <v>82</v>
      </c>
      <c r="R251" t="s">
        <v>40</v>
      </c>
    </row>
    <row r="252" spans="1:18" x14ac:dyDescent="0.25">
      <c r="A252" t="s">
        <v>402</v>
      </c>
      <c r="B252" t="s">
        <v>53</v>
      </c>
      <c r="C252" t="s">
        <v>48</v>
      </c>
      <c r="D252" s="1" t="s">
        <v>922</v>
      </c>
      <c r="E252" t="s">
        <v>1442</v>
      </c>
      <c r="F252" t="s">
        <v>34</v>
      </c>
      <c r="G252" t="s">
        <v>12</v>
      </c>
      <c r="H252" t="s">
        <v>1962</v>
      </c>
      <c r="I252" t="s">
        <v>54</v>
      </c>
      <c r="J252" t="s">
        <v>2482</v>
      </c>
      <c r="K252" t="s">
        <v>5</v>
      </c>
      <c r="L252" s="22">
        <v>7</v>
      </c>
      <c r="M252" s="30">
        <v>1</v>
      </c>
      <c r="N252" s="11" t="s">
        <v>5</v>
      </c>
      <c r="O252" s="1">
        <v>62</v>
      </c>
      <c r="P252" s="1">
        <v>62</v>
      </c>
      <c r="R252" t="s">
        <v>40</v>
      </c>
    </row>
    <row r="253" spans="1:18" x14ac:dyDescent="0.25">
      <c r="A253" t="s">
        <v>403</v>
      </c>
      <c r="B253" t="s">
        <v>53</v>
      </c>
      <c r="C253" t="s">
        <v>48</v>
      </c>
      <c r="D253" s="1" t="s">
        <v>923</v>
      </c>
      <c r="E253" t="s">
        <v>1443</v>
      </c>
      <c r="F253" t="s">
        <v>34</v>
      </c>
      <c r="G253" t="s">
        <v>12</v>
      </c>
      <c r="H253" t="s">
        <v>1963</v>
      </c>
      <c r="I253" t="s">
        <v>42</v>
      </c>
      <c r="J253" t="s">
        <v>2483</v>
      </c>
      <c r="K253" t="s">
        <v>5</v>
      </c>
      <c r="L253" s="22">
        <v>9</v>
      </c>
      <c r="M253" s="30">
        <v>0.32857142857142857</v>
      </c>
      <c r="N253" s="11" t="s">
        <v>6</v>
      </c>
      <c r="O253" s="1">
        <v>70</v>
      </c>
      <c r="P253" s="1">
        <v>23</v>
      </c>
    </row>
    <row r="254" spans="1:18" x14ac:dyDescent="0.25">
      <c r="A254" t="s">
        <v>404</v>
      </c>
      <c r="B254" t="s">
        <v>77</v>
      </c>
      <c r="C254" t="s">
        <v>57</v>
      </c>
      <c r="D254" s="1" t="s">
        <v>924</v>
      </c>
      <c r="E254" t="s">
        <v>1444</v>
      </c>
      <c r="F254" t="s">
        <v>34</v>
      </c>
      <c r="G254" t="s">
        <v>8</v>
      </c>
      <c r="H254" t="s">
        <v>1964</v>
      </c>
      <c r="I254" t="s">
        <v>61</v>
      </c>
      <c r="J254" t="s">
        <v>2484</v>
      </c>
      <c r="K254" t="s">
        <v>5</v>
      </c>
      <c r="L254" s="22">
        <v>5</v>
      </c>
      <c r="M254" s="31">
        <v>1</v>
      </c>
      <c r="N254" s="11" t="s">
        <v>5</v>
      </c>
      <c r="O254" s="22">
        <v>62</v>
      </c>
      <c r="P254" s="1">
        <v>62</v>
      </c>
      <c r="R254" t="s">
        <v>40</v>
      </c>
    </row>
    <row r="255" spans="1:18" x14ac:dyDescent="0.25">
      <c r="A255" t="s">
        <v>405</v>
      </c>
      <c r="B255" t="s">
        <v>51</v>
      </c>
      <c r="C255" t="s">
        <v>37</v>
      </c>
      <c r="D255" s="1" t="s">
        <v>925</v>
      </c>
      <c r="E255" t="s">
        <v>1445</v>
      </c>
      <c r="F255" t="s">
        <v>43</v>
      </c>
      <c r="G255" t="s">
        <v>12</v>
      </c>
      <c r="H255" t="s">
        <v>1965</v>
      </c>
      <c r="I255" t="s">
        <v>35</v>
      </c>
      <c r="J255" t="s">
        <v>2485</v>
      </c>
      <c r="K255" t="s">
        <v>5</v>
      </c>
      <c r="L255" s="22">
        <v>9</v>
      </c>
      <c r="M255" s="30">
        <v>0.69230769230769229</v>
      </c>
      <c r="N255" s="11" t="s">
        <v>6</v>
      </c>
      <c r="O255" s="1">
        <v>78</v>
      </c>
      <c r="P255" s="1">
        <v>54</v>
      </c>
      <c r="R255" t="s">
        <v>40</v>
      </c>
    </row>
    <row r="256" spans="1:18" x14ac:dyDescent="0.25">
      <c r="A256" t="s">
        <v>406</v>
      </c>
      <c r="B256" t="s">
        <v>32</v>
      </c>
      <c r="C256" t="s">
        <v>33</v>
      </c>
      <c r="D256" s="1" t="s">
        <v>926</v>
      </c>
      <c r="E256" t="s">
        <v>1446</v>
      </c>
      <c r="F256" t="s">
        <v>43</v>
      </c>
      <c r="G256" t="s">
        <v>12</v>
      </c>
      <c r="H256" t="s">
        <v>1966</v>
      </c>
      <c r="I256" t="s">
        <v>52</v>
      </c>
      <c r="J256" t="s">
        <v>2486</v>
      </c>
      <c r="K256" t="s">
        <v>5</v>
      </c>
      <c r="L256" s="22">
        <v>7</v>
      </c>
      <c r="M256" s="31">
        <v>1</v>
      </c>
      <c r="N256" s="11" t="s">
        <v>5</v>
      </c>
      <c r="O256" s="22">
        <v>66</v>
      </c>
      <c r="P256" s="1">
        <v>66</v>
      </c>
      <c r="R256" t="s">
        <v>40</v>
      </c>
    </row>
    <row r="257" spans="1:18" x14ac:dyDescent="0.25">
      <c r="A257" t="s">
        <v>407</v>
      </c>
      <c r="B257" t="s">
        <v>88</v>
      </c>
      <c r="C257" t="s">
        <v>48</v>
      </c>
      <c r="D257" s="1" t="s">
        <v>927</v>
      </c>
      <c r="E257" t="s">
        <v>1447</v>
      </c>
      <c r="F257" t="s">
        <v>114</v>
      </c>
      <c r="G257" t="s">
        <v>12</v>
      </c>
      <c r="H257" t="s">
        <v>1967</v>
      </c>
      <c r="I257" t="s">
        <v>35</v>
      </c>
      <c r="J257" t="s">
        <v>2487</v>
      </c>
      <c r="K257" t="s">
        <v>5</v>
      </c>
      <c r="L257" s="22">
        <v>9</v>
      </c>
      <c r="M257" s="31">
        <v>1</v>
      </c>
      <c r="N257" s="11" t="s">
        <v>5</v>
      </c>
      <c r="O257" s="22">
        <v>72</v>
      </c>
      <c r="P257" s="1">
        <v>72</v>
      </c>
      <c r="R257" t="s">
        <v>40</v>
      </c>
    </row>
    <row r="258" spans="1:18" x14ac:dyDescent="0.25">
      <c r="A258" t="s">
        <v>408</v>
      </c>
      <c r="B258" t="s">
        <v>90</v>
      </c>
      <c r="C258" t="s">
        <v>91</v>
      </c>
      <c r="D258" s="1" t="s">
        <v>928</v>
      </c>
      <c r="E258" t="s">
        <v>1448</v>
      </c>
      <c r="F258" t="s">
        <v>75</v>
      </c>
      <c r="G258" t="s">
        <v>8</v>
      </c>
      <c r="H258" t="s">
        <v>1968</v>
      </c>
      <c r="I258" t="s">
        <v>61</v>
      </c>
      <c r="J258" t="s">
        <v>2488</v>
      </c>
      <c r="K258" t="s">
        <v>5</v>
      </c>
      <c r="L258" s="22">
        <v>7</v>
      </c>
      <c r="M258" s="30">
        <v>1</v>
      </c>
      <c r="N258" s="11" t="s">
        <v>5</v>
      </c>
      <c r="O258" s="1">
        <v>74</v>
      </c>
      <c r="P258" s="1">
        <v>74</v>
      </c>
      <c r="R258" t="s">
        <v>40</v>
      </c>
    </row>
    <row r="259" spans="1:18" x14ac:dyDescent="0.25">
      <c r="A259" t="s">
        <v>409</v>
      </c>
      <c r="B259" t="s">
        <v>32</v>
      </c>
      <c r="C259" t="s">
        <v>33</v>
      </c>
      <c r="D259" s="1" t="s">
        <v>929</v>
      </c>
      <c r="E259" t="s">
        <v>1449</v>
      </c>
      <c r="F259" t="s">
        <v>34</v>
      </c>
      <c r="G259" t="s">
        <v>12</v>
      </c>
      <c r="H259" t="s">
        <v>1969</v>
      </c>
      <c r="I259" t="s">
        <v>116</v>
      </c>
      <c r="J259" t="s">
        <v>2489</v>
      </c>
      <c r="K259" t="s">
        <v>5</v>
      </c>
      <c r="L259" s="22">
        <v>7</v>
      </c>
      <c r="M259" s="31">
        <v>1</v>
      </c>
      <c r="N259" s="11" t="s">
        <v>5</v>
      </c>
      <c r="O259" s="22">
        <v>66</v>
      </c>
      <c r="P259" s="1">
        <v>66</v>
      </c>
      <c r="R259" t="s">
        <v>40</v>
      </c>
    </row>
    <row r="260" spans="1:18" x14ac:dyDescent="0.25">
      <c r="A260" t="s">
        <v>410</v>
      </c>
      <c r="B260" t="s">
        <v>90</v>
      </c>
      <c r="C260" t="s">
        <v>91</v>
      </c>
      <c r="D260" s="1" t="s">
        <v>930</v>
      </c>
      <c r="E260" t="s">
        <v>1450</v>
      </c>
      <c r="F260" t="s">
        <v>43</v>
      </c>
      <c r="G260" t="s">
        <v>8</v>
      </c>
      <c r="H260" t="s">
        <v>1970</v>
      </c>
      <c r="I260" t="s">
        <v>61</v>
      </c>
      <c r="J260" t="s">
        <v>2490</v>
      </c>
      <c r="K260" t="s">
        <v>5</v>
      </c>
      <c r="L260" s="22">
        <v>7</v>
      </c>
      <c r="M260" s="31">
        <v>1</v>
      </c>
      <c r="N260" s="11" t="s">
        <v>5</v>
      </c>
      <c r="O260" s="22">
        <v>64</v>
      </c>
      <c r="P260" s="1">
        <v>64</v>
      </c>
      <c r="R260" t="s">
        <v>40</v>
      </c>
    </row>
    <row r="261" spans="1:18" x14ac:dyDescent="0.25">
      <c r="A261" t="s">
        <v>411</v>
      </c>
      <c r="B261" t="s">
        <v>102</v>
      </c>
      <c r="C261" t="s">
        <v>85</v>
      </c>
      <c r="D261" s="1" t="s">
        <v>931</v>
      </c>
      <c r="E261" t="s">
        <v>1451</v>
      </c>
      <c r="F261" t="s">
        <v>43</v>
      </c>
      <c r="G261" t="s">
        <v>12</v>
      </c>
      <c r="H261" t="s">
        <v>1971</v>
      </c>
      <c r="I261" t="s">
        <v>52</v>
      </c>
      <c r="J261" t="s">
        <v>2491</v>
      </c>
      <c r="K261" t="s">
        <v>5</v>
      </c>
      <c r="L261" s="22">
        <v>7</v>
      </c>
      <c r="M261" s="31">
        <v>1</v>
      </c>
      <c r="N261" s="11" t="s">
        <v>5</v>
      </c>
      <c r="O261" s="1">
        <v>98</v>
      </c>
      <c r="P261" s="1">
        <v>98</v>
      </c>
      <c r="Q261" t="s">
        <v>44</v>
      </c>
      <c r="R261" t="s">
        <v>40</v>
      </c>
    </row>
    <row r="262" spans="1:18" x14ac:dyDescent="0.25">
      <c r="A262" t="s">
        <v>412</v>
      </c>
      <c r="B262" t="s">
        <v>47</v>
      </c>
      <c r="C262" t="s">
        <v>48</v>
      </c>
      <c r="D262" s="1" t="s">
        <v>932</v>
      </c>
      <c r="E262" t="s">
        <v>1452</v>
      </c>
      <c r="F262" t="s">
        <v>43</v>
      </c>
      <c r="G262" t="s">
        <v>12</v>
      </c>
      <c r="H262" t="s">
        <v>1972</v>
      </c>
      <c r="I262" t="s">
        <v>42</v>
      </c>
      <c r="J262" t="s">
        <v>2492</v>
      </c>
      <c r="K262" t="s">
        <v>5</v>
      </c>
      <c r="L262" s="22">
        <v>9</v>
      </c>
      <c r="M262" s="30">
        <v>1</v>
      </c>
      <c r="N262" s="11" t="s">
        <v>5</v>
      </c>
      <c r="O262" s="1">
        <v>106</v>
      </c>
      <c r="P262" s="1">
        <v>106</v>
      </c>
      <c r="R262" t="s">
        <v>40</v>
      </c>
    </row>
    <row r="263" spans="1:18" x14ac:dyDescent="0.25">
      <c r="A263" t="s">
        <v>413</v>
      </c>
      <c r="B263" t="s">
        <v>53</v>
      </c>
      <c r="C263" t="s">
        <v>48</v>
      </c>
      <c r="D263" s="1" t="s">
        <v>933</v>
      </c>
      <c r="E263" t="s">
        <v>1453</v>
      </c>
      <c r="F263" t="s">
        <v>34</v>
      </c>
      <c r="G263" t="s">
        <v>12</v>
      </c>
      <c r="H263" t="s">
        <v>1973</v>
      </c>
      <c r="I263" t="s">
        <v>71</v>
      </c>
      <c r="J263" t="s">
        <v>2493</v>
      </c>
      <c r="K263" t="s">
        <v>5</v>
      </c>
      <c r="L263" s="22">
        <v>9</v>
      </c>
      <c r="M263" s="30">
        <v>0.29487179487179488</v>
      </c>
      <c r="N263" s="11" t="s">
        <v>6</v>
      </c>
      <c r="O263" s="1">
        <v>78</v>
      </c>
      <c r="P263" s="1">
        <v>23</v>
      </c>
      <c r="R263" t="s">
        <v>40</v>
      </c>
    </row>
    <row r="264" spans="1:18" x14ac:dyDescent="0.25">
      <c r="A264" t="s">
        <v>414</v>
      </c>
      <c r="B264" t="s">
        <v>32</v>
      </c>
      <c r="C264" t="s">
        <v>33</v>
      </c>
      <c r="D264" s="1" t="s">
        <v>934</v>
      </c>
      <c r="E264" t="s">
        <v>1454</v>
      </c>
      <c r="F264" t="s">
        <v>41</v>
      </c>
      <c r="G264" t="s">
        <v>12</v>
      </c>
      <c r="H264" t="s">
        <v>1974</v>
      </c>
      <c r="I264" t="s">
        <v>116</v>
      </c>
      <c r="J264" t="s">
        <v>2494</v>
      </c>
      <c r="K264" t="s">
        <v>5</v>
      </c>
      <c r="L264" s="22">
        <v>7</v>
      </c>
      <c r="M264" s="30">
        <v>1</v>
      </c>
      <c r="N264" s="11" t="s">
        <v>5</v>
      </c>
      <c r="O264" s="1">
        <v>52</v>
      </c>
      <c r="P264" s="1">
        <v>52</v>
      </c>
      <c r="R264" t="s">
        <v>40</v>
      </c>
    </row>
    <row r="265" spans="1:18" x14ac:dyDescent="0.25">
      <c r="A265" t="s">
        <v>415</v>
      </c>
      <c r="B265" t="s">
        <v>47</v>
      </c>
      <c r="C265" t="s">
        <v>48</v>
      </c>
      <c r="D265" s="1" t="s">
        <v>935</v>
      </c>
      <c r="E265" t="s">
        <v>1455</v>
      </c>
      <c r="F265" t="s">
        <v>43</v>
      </c>
      <c r="G265" t="s">
        <v>12</v>
      </c>
      <c r="H265" t="s">
        <v>1975</v>
      </c>
      <c r="I265" t="s">
        <v>35</v>
      </c>
      <c r="J265" t="s">
        <v>2495</v>
      </c>
      <c r="K265" t="s">
        <v>5</v>
      </c>
      <c r="L265" s="22">
        <v>9</v>
      </c>
      <c r="M265" s="31">
        <v>1</v>
      </c>
      <c r="N265" s="11" t="s">
        <v>5</v>
      </c>
      <c r="O265" s="22">
        <v>106</v>
      </c>
      <c r="P265" s="1">
        <v>106</v>
      </c>
      <c r="R265" t="s">
        <v>40</v>
      </c>
    </row>
    <row r="266" spans="1:18" x14ac:dyDescent="0.25">
      <c r="A266" t="s">
        <v>416</v>
      </c>
      <c r="B266" t="s">
        <v>53</v>
      </c>
      <c r="C266" t="s">
        <v>48</v>
      </c>
      <c r="D266" s="1" t="s">
        <v>936</v>
      </c>
      <c r="E266" t="s">
        <v>1456</v>
      </c>
      <c r="F266" t="s">
        <v>49</v>
      </c>
      <c r="G266" t="s">
        <v>12</v>
      </c>
      <c r="H266" t="s">
        <v>1976</v>
      </c>
      <c r="I266" t="s">
        <v>64</v>
      </c>
      <c r="J266" t="s">
        <v>2496</v>
      </c>
      <c r="K266" t="s">
        <v>5</v>
      </c>
      <c r="L266" s="22">
        <v>9</v>
      </c>
      <c r="M266" s="30">
        <v>1</v>
      </c>
      <c r="N266" s="11" t="s">
        <v>5</v>
      </c>
      <c r="O266" s="1">
        <v>94</v>
      </c>
      <c r="P266" s="1">
        <v>94</v>
      </c>
      <c r="R266" t="s">
        <v>40</v>
      </c>
    </row>
    <row r="267" spans="1:18" x14ac:dyDescent="0.25">
      <c r="A267" t="s">
        <v>417</v>
      </c>
      <c r="B267" t="s">
        <v>67</v>
      </c>
      <c r="C267" t="s">
        <v>48</v>
      </c>
      <c r="D267" s="1" t="s">
        <v>937</v>
      </c>
      <c r="E267" t="s">
        <v>1457</v>
      </c>
      <c r="F267" t="s">
        <v>34</v>
      </c>
      <c r="G267" t="s">
        <v>12</v>
      </c>
      <c r="H267" t="s">
        <v>1977</v>
      </c>
      <c r="I267" t="s">
        <v>64</v>
      </c>
      <c r="J267" t="s">
        <v>2497</v>
      </c>
      <c r="K267" t="s">
        <v>5</v>
      </c>
      <c r="L267" s="22">
        <v>9</v>
      </c>
      <c r="M267" s="30">
        <v>0.20238095238095238</v>
      </c>
      <c r="N267" s="11" t="s">
        <v>6</v>
      </c>
      <c r="O267" s="1">
        <v>84</v>
      </c>
      <c r="P267" s="1">
        <v>17</v>
      </c>
      <c r="R267" t="s">
        <v>40</v>
      </c>
    </row>
    <row r="268" spans="1:18" x14ac:dyDescent="0.25">
      <c r="A268" t="s">
        <v>418</v>
      </c>
      <c r="B268" t="s">
        <v>53</v>
      </c>
      <c r="C268" t="s">
        <v>48</v>
      </c>
      <c r="D268" s="1" t="s">
        <v>938</v>
      </c>
      <c r="E268" t="s">
        <v>1458</v>
      </c>
      <c r="F268" t="s">
        <v>43</v>
      </c>
      <c r="G268" t="s">
        <v>12</v>
      </c>
      <c r="H268" t="s">
        <v>1978</v>
      </c>
      <c r="I268" t="s">
        <v>71</v>
      </c>
      <c r="J268" t="s">
        <v>2498</v>
      </c>
      <c r="K268" t="s">
        <v>5</v>
      </c>
      <c r="L268" s="22">
        <v>9</v>
      </c>
      <c r="M268" s="30">
        <v>1</v>
      </c>
      <c r="N268" s="11" t="s">
        <v>5</v>
      </c>
      <c r="O268" s="1">
        <v>84</v>
      </c>
      <c r="P268" s="1">
        <v>84</v>
      </c>
      <c r="R268" t="s">
        <v>40</v>
      </c>
    </row>
    <row r="269" spans="1:18" x14ac:dyDescent="0.25">
      <c r="A269" t="s">
        <v>419</v>
      </c>
      <c r="B269" t="s">
        <v>132</v>
      </c>
      <c r="C269" t="s">
        <v>85</v>
      </c>
      <c r="D269" s="1" t="s">
        <v>939</v>
      </c>
      <c r="E269" t="s">
        <v>1459</v>
      </c>
      <c r="F269" t="s">
        <v>75</v>
      </c>
      <c r="G269" t="s">
        <v>8</v>
      </c>
      <c r="H269" t="s">
        <v>1979</v>
      </c>
      <c r="I269" t="s">
        <v>92</v>
      </c>
      <c r="J269" t="s">
        <v>2499</v>
      </c>
      <c r="K269" t="s">
        <v>5</v>
      </c>
      <c r="L269" s="22">
        <v>5</v>
      </c>
      <c r="M269" s="31">
        <v>0.63043478260869568</v>
      </c>
      <c r="N269" s="11" t="s">
        <v>6</v>
      </c>
      <c r="O269" s="22">
        <v>46</v>
      </c>
      <c r="P269" s="1">
        <v>29</v>
      </c>
      <c r="R269" t="s">
        <v>40</v>
      </c>
    </row>
    <row r="270" spans="1:18" x14ac:dyDescent="0.25">
      <c r="A270" t="s">
        <v>420</v>
      </c>
      <c r="B270" t="s">
        <v>51</v>
      </c>
      <c r="C270" t="s">
        <v>37</v>
      </c>
      <c r="D270" s="1" t="s">
        <v>940</v>
      </c>
      <c r="E270" t="s">
        <v>1460</v>
      </c>
      <c r="F270" t="s">
        <v>43</v>
      </c>
      <c r="G270" t="s">
        <v>12</v>
      </c>
      <c r="H270" t="s">
        <v>1980</v>
      </c>
      <c r="I270" t="s">
        <v>72</v>
      </c>
      <c r="J270" t="s">
        <v>2500</v>
      </c>
      <c r="K270" t="s">
        <v>5</v>
      </c>
      <c r="L270" s="22">
        <v>9</v>
      </c>
      <c r="M270" s="31">
        <v>1</v>
      </c>
      <c r="N270" s="11" t="s">
        <v>5</v>
      </c>
      <c r="O270" s="22">
        <v>94</v>
      </c>
      <c r="P270" s="1">
        <v>94</v>
      </c>
      <c r="R270" t="s">
        <v>40</v>
      </c>
    </row>
    <row r="271" spans="1:18" x14ac:dyDescent="0.25">
      <c r="A271" t="s">
        <v>421</v>
      </c>
      <c r="B271" t="s">
        <v>67</v>
      </c>
      <c r="C271" t="s">
        <v>48</v>
      </c>
      <c r="D271" s="1" t="s">
        <v>941</v>
      </c>
      <c r="E271" t="s">
        <v>1461</v>
      </c>
      <c r="F271" t="s">
        <v>41</v>
      </c>
      <c r="G271" t="s">
        <v>12</v>
      </c>
      <c r="H271" t="s">
        <v>1981</v>
      </c>
      <c r="I271" t="s">
        <v>54</v>
      </c>
      <c r="J271" t="s">
        <v>2501</v>
      </c>
      <c r="K271" t="s">
        <v>5</v>
      </c>
      <c r="L271" s="22">
        <v>9</v>
      </c>
      <c r="M271" s="30">
        <v>1</v>
      </c>
      <c r="N271" s="11" t="s">
        <v>5</v>
      </c>
      <c r="O271" s="1">
        <v>84</v>
      </c>
      <c r="P271" s="1">
        <v>84</v>
      </c>
      <c r="R271" t="s">
        <v>40</v>
      </c>
    </row>
    <row r="272" spans="1:18" x14ac:dyDescent="0.25">
      <c r="A272" t="s">
        <v>422</v>
      </c>
      <c r="B272" t="s">
        <v>112</v>
      </c>
      <c r="C272" t="s">
        <v>85</v>
      </c>
      <c r="D272" s="1" t="s">
        <v>942</v>
      </c>
      <c r="E272" t="s">
        <v>1462</v>
      </c>
      <c r="F272" t="s">
        <v>34</v>
      </c>
      <c r="G272" t="s">
        <v>11</v>
      </c>
      <c r="H272" t="s">
        <v>1982</v>
      </c>
      <c r="I272" t="s">
        <v>76</v>
      </c>
      <c r="J272" t="s">
        <v>2502</v>
      </c>
      <c r="K272" t="s">
        <v>5</v>
      </c>
      <c r="L272" s="22">
        <v>7</v>
      </c>
      <c r="M272" s="30">
        <v>1</v>
      </c>
      <c r="N272" s="11" t="s">
        <v>5</v>
      </c>
      <c r="O272" s="1">
        <v>106</v>
      </c>
      <c r="P272" s="1">
        <v>106</v>
      </c>
    </row>
    <row r="273" spans="1:18" x14ac:dyDescent="0.25">
      <c r="A273" t="s">
        <v>423</v>
      </c>
      <c r="B273" t="s">
        <v>62</v>
      </c>
      <c r="C273" t="s">
        <v>63</v>
      </c>
      <c r="D273" s="1" t="s">
        <v>943</v>
      </c>
      <c r="E273" t="s">
        <v>1463</v>
      </c>
      <c r="F273" t="s">
        <v>49</v>
      </c>
      <c r="G273" t="s">
        <v>12</v>
      </c>
      <c r="H273" t="s">
        <v>1983</v>
      </c>
      <c r="I273" t="s">
        <v>42</v>
      </c>
      <c r="J273" t="s">
        <v>2503</v>
      </c>
      <c r="K273" t="s">
        <v>5</v>
      </c>
      <c r="L273" s="22">
        <v>7</v>
      </c>
      <c r="M273" s="30">
        <v>1</v>
      </c>
      <c r="N273" s="11" t="s">
        <v>5</v>
      </c>
      <c r="O273" s="1">
        <v>82</v>
      </c>
      <c r="P273" s="1">
        <v>82</v>
      </c>
      <c r="R273" t="s">
        <v>40</v>
      </c>
    </row>
    <row r="274" spans="1:18" x14ac:dyDescent="0.25">
      <c r="A274" t="s">
        <v>424</v>
      </c>
      <c r="B274" t="s">
        <v>56</v>
      </c>
      <c r="C274" t="s">
        <v>57</v>
      </c>
      <c r="D274" s="1" t="s">
        <v>944</v>
      </c>
      <c r="E274" t="s">
        <v>1464</v>
      </c>
      <c r="F274" t="s">
        <v>133</v>
      </c>
      <c r="G274" t="s">
        <v>12</v>
      </c>
      <c r="H274" t="s">
        <v>1984</v>
      </c>
      <c r="I274" t="s">
        <v>35</v>
      </c>
      <c r="J274" t="s">
        <v>2504</v>
      </c>
      <c r="K274" t="s">
        <v>5</v>
      </c>
      <c r="L274" s="22">
        <v>7</v>
      </c>
      <c r="M274" s="30">
        <v>0.87804878048780488</v>
      </c>
      <c r="N274" s="11" t="s">
        <v>6</v>
      </c>
      <c r="O274" s="1">
        <v>82</v>
      </c>
      <c r="P274" s="1">
        <v>72</v>
      </c>
      <c r="R274" t="s">
        <v>40</v>
      </c>
    </row>
    <row r="275" spans="1:18" x14ac:dyDescent="0.25">
      <c r="A275" t="s">
        <v>425</v>
      </c>
      <c r="B275" t="s">
        <v>134</v>
      </c>
      <c r="C275" t="s">
        <v>37</v>
      </c>
      <c r="D275" s="1" t="s">
        <v>945</v>
      </c>
      <c r="E275" t="s">
        <v>1465</v>
      </c>
      <c r="F275" t="s">
        <v>38</v>
      </c>
      <c r="G275" t="s">
        <v>8</v>
      </c>
      <c r="H275" t="s">
        <v>1985</v>
      </c>
      <c r="I275" t="s">
        <v>125</v>
      </c>
      <c r="J275" t="s">
        <v>2505</v>
      </c>
      <c r="K275" t="s">
        <v>5</v>
      </c>
      <c r="L275" s="22">
        <v>5</v>
      </c>
      <c r="M275" s="31">
        <v>1</v>
      </c>
      <c r="N275" s="11" t="s">
        <v>5</v>
      </c>
      <c r="O275" s="22">
        <v>78</v>
      </c>
      <c r="P275" s="1">
        <v>78</v>
      </c>
      <c r="R275" t="s">
        <v>40</v>
      </c>
    </row>
    <row r="276" spans="1:18" x14ac:dyDescent="0.25">
      <c r="A276" t="s">
        <v>426</v>
      </c>
      <c r="B276" t="s">
        <v>83</v>
      </c>
      <c r="C276" t="s">
        <v>57</v>
      </c>
      <c r="D276" s="1" t="s">
        <v>946</v>
      </c>
      <c r="E276" t="s">
        <v>1466</v>
      </c>
      <c r="F276" t="s">
        <v>34</v>
      </c>
      <c r="G276" t="s">
        <v>11</v>
      </c>
      <c r="H276" t="s">
        <v>1986</v>
      </c>
      <c r="I276" t="s">
        <v>108</v>
      </c>
      <c r="J276" t="s">
        <v>2506</v>
      </c>
      <c r="K276" t="s">
        <v>5</v>
      </c>
      <c r="L276" s="22">
        <v>7</v>
      </c>
      <c r="M276" s="30">
        <v>1</v>
      </c>
      <c r="N276" s="11" t="s">
        <v>5</v>
      </c>
      <c r="O276" s="1">
        <v>58</v>
      </c>
      <c r="P276" s="1">
        <v>58</v>
      </c>
      <c r="R276" t="s">
        <v>40</v>
      </c>
    </row>
    <row r="277" spans="1:18" x14ac:dyDescent="0.25">
      <c r="A277" t="s">
        <v>427</v>
      </c>
      <c r="B277" t="s">
        <v>88</v>
      </c>
      <c r="C277" t="s">
        <v>48</v>
      </c>
      <c r="D277" s="1" t="s">
        <v>947</v>
      </c>
      <c r="E277" t="s">
        <v>1467</v>
      </c>
      <c r="F277" t="s">
        <v>69</v>
      </c>
      <c r="G277" t="s">
        <v>12</v>
      </c>
      <c r="H277" t="s">
        <v>1987</v>
      </c>
      <c r="I277" t="s">
        <v>35</v>
      </c>
      <c r="J277" t="s">
        <v>2507</v>
      </c>
      <c r="K277" t="s">
        <v>5</v>
      </c>
      <c r="L277" s="22">
        <v>9</v>
      </c>
      <c r="M277" s="31">
        <v>1</v>
      </c>
      <c r="N277" s="11" t="s">
        <v>5</v>
      </c>
      <c r="O277" s="1">
        <v>72</v>
      </c>
      <c r="P277" s="1">
        <v>72</v>
      </c>
      <c r="Q277" t="s">
        <v>44</v>
      </c>
      <c r="R277" t="s">
        <v>40</v>
      </c>
    </row>
    <row r="278" spans="1:18" x14ac:dyDescent="0.25">
      <c r="A278" t="s">
        <v>428</v>
      </c>
      <c r="B278" t="s">
        <v>88</v>
      </c>
      <c r="C278" t="s">
        <v>48</v>
      </c>
      <c r="D278" s="1" t="s">
        <v>948</v>
      </c>
      <c r="E278" t="s">
        <v>1468</v>
      </c>
      <c r="F278" t="s">
        <v>34</v>
      </c>
      <c r="G278" t="s">
        <v>12</v>
      </c>
      <c r="H278" t="s">
        <v>1988</v>
      </c>
      <c r="I278" t="s">
        <v>68</v>
      </c>
      <c r="J278" t="s">
        <v>2508</v>
      </c>
      <c r="K278" t="s">
        <v>5</v>
      </c>
      <c r="L278" s="22">
        <v>9</v>
      </c>
      <c r="M278" s="31">
        <v>0.39743589743589741</v>
      </c>
      <c r="N278" s="11" t="s">
        <v>6</v>
      </c>
      <c r="O278" s="22">
        <v>78</v>
      </c>
      <c r="P278" s="1">
        <v>31</v>
      </c>
      <c r="R278" t="s">
        <v>40</v>
      </c>
    </row>
    <row r="279" spans="1:18" x14ac:dyDescent="0.25">
      <c r="A279" t="s">
        <v>429</v>
      </c>
      <c r="B279" t="s">
        <v>128</v>
      </c>
      <c r="C279" t="s">
        <v>128</v>
      </c>
      <c r="D279" s="1" t="s">
        <v>949</v>
      </c>
      <c r="E279" t="s">
        <v>1469</v>
      </c>
      <c r="F279" t="s">
        <v>43</v>
      </c>
      <c r="G279" t="s">
        <v>12</v>
      </c>
      <c r="H279" t="s">
        <v>1989</v>
      </c>
      <c r="I279" t="s">
        <v>50</v>
      </c>
      <c r="J279" t="s">
        <v>2509</v>
      </c>
      <c r="K279" t="s">
        <v>5</v>
      </c>
      <c r="L279" s="22">
        <v>9</v>
      </c>
      <c r="M279" s="31">
        <v>1</v>
      </c>
      <c r="N279" s="11" t="s">
        <v>5</v>
      </c>
      <c r="O279" s="22">
        <v>84</v>
      </c>
      <c r="P279" s="1">
        <v>84</v>
      </c>
      <c r="R279" t="s">
        <v>40</v>
      </c>
    </row>
    <row r="280" spans="1:18" x14ac:dyDescent="0.25">
      <c r="A280" t="s">
        <v>430</v>
      </c>
      <c r="B280" t="s">
        <v>135</v>
      </c>
      <c r="C280" t="s">
        <v>33</v>
      </c>
      <c r="D280" s="1" t="s">
        <v>950</v>
      </c>
      <c r="E280" t="s">
        <v>1470</v>
      </c>
      <c r="F280" t="s">
        <v>38</v>
      </c>
      <c r="G280" t="s">
        <v>8</v>
      </c>
      <c r="H280" t="s">
        <v>1990</v>
      </c>
      <c r="I280" t="s">
        <v>125</v>
      </c>
      <c r="J280" t="s">
        <v>2510</v>
      </c>
      <c r="K280" t="s">
        <v>5</v>
      </c>
      <c r="L280" s="22">
        <v>7</v>
      </c>
      <c r="M280" s="31">
        <v>1</v>
      </c>
      <c r="N280" s="11" t="s">
        <v>5</v>
      </c>
      <c r="O280" s="22">
        <v>52</v>
      </c>
      <c r="P280" s="1">
        <v>52</v>
      </c>
      <c r="R280" t="s">
        <v>40</v>
      </c>
    </row>
    <row r="281" spans="1:18" x14ac:dyDescent="0.25">
      <c r="A281" t="s">
        <v>431</v>
      </c>
      <c r="B281" t="s">
        <v>51</v>
      </c>
      <c r="C281" t="s">
        <v>37</v>
      </c>
      <c r="D281" s="1" t="s">
        <v>951</v>
      </c>
      <c r="E281" t="s">
        <v>1471</v>
      </c>
      <c r="F281" t="s">
        <v>34</v>
      </c>
      <c r="G281" t="s">
        <v>12</v>
      </c>
      <c r="H281" t="s">
        <v>1991</v>
      </c>
      <c r="I281" t="s">
        <v>50</v>
      </c>
      <c r="J281" t="s">
        <v>2511</v>
      </c>
      <c r="K281" t="s">
        <v>5</v>
      </c>
      <c r="L281" s="22">
        <v>9</v>
      </c>
      <c r="M281" s="30">
        <v>0.47674418604651164</v>
      </c>
      <c r="N281" s="11" t="s">
        <v>6</v>
      </c>
      <c r="O281" s="1">
        <v>86</v>
      </c>
      <c r="P281" s="1">
        <v>41</v>
      </c>
      <c r="R281" t="s">
        <v>40</v>
      </c>
    </row>
    <row r="282" spans="1:18" x14ac:dyDescent="0.25">
      <c r="A282" t="s">
        <v>432</v>
      </c>
      <c r="B282" t="s">
        <v>32</v>
      </c>
      <c r="C282" t="s">
        <v>33</v>
      </c>
      <c r="D282" s="1" t="s">
        <v>952</v>
      </c>
      <c r="E282" t="s">
        <v>1472</v>
      </c>
      <c r="F282" t="s">
        <v>75</v>
      </c>
      <c r="G282" t="s">
        <v>8</v>
      </c>
      <c r="H282" t="s">
        <v>1992</v>
      </c>
      <c r="I282" t="s">
        <v>61</v>
      </c>
      <c r="J282" t="s">
        <v>2512</v>
      </c>
      <c r="K282" t="s">
        <v>5</v>
      </c>
      <c r="L282" s="22">
        <v>9</v>
      </c>
      <c r="M282" s="30">
        <v>1</v>
      </c>
      <c r="N282" s="11" t="s">
        <v>5</v>
      </c>
      <c r="O282" s="1">
        <v>80</v>
      </c>
      <c r="P282" s="1">
        <v>80</v>
      </c>
      <c r="R282" t="s">
        <v>40</v>
      </c>
    </row>
    <row r="283" spans="1:18" x14ac:dyDescent="0.25">
      <c r="A283" s="5" t="s">
        <v>433</v>
      </c>
      <c r="B283" t="s">
        <v>47</v>
      </c>
      <c r="C283" t="s">
        <v>48</v>
      </c>
      <c r="D283" s="1" t="s">
        <v>953</v>
      </c>
      <c r="E283" t="s">
        <v>1473</v>
      </c>
      <c r="F283" t="s">
        <v>43</v>
      </c>
      <c r="G283" t="s">
        <v>12</v>
      </c>
      <c r="H283" t="s">
        <v>1993</v>
      </c>
      <c r="I283" t="s">
        <v>55</v>
      </c>
      <c r="J283" t="s">
        <v>2513</v>
      </c>
      <c r="K283" t="s">
        <v>5</v>
      </c>
      <c r="L283" s="22">
        <v>9</v>
      </c>
      <c r="M283" s="30">
        <v>1</v>
      </c>
      <c r="N283" s="11" t="s">
        <v>5</v>
      </c>
      <c r="O283" s="1">
        <v>117</v>
      </c>
      <c r="P283" s="1">
        <v>117</v>
      </c>
      <c r="Q283" t="s">
        <v>44</v>
      </c>
      <c r="R283" t="s">
        <v>40</v>
      </c>
    </row>
    <row r="284" spans="1:18" x14ac:dyDescent="0.25">
      <c r="A284" t="s">
        <v>434</v>
      </c>
      <c r="B284" t="s">
        <v>109</v>
      </c>
      <c r="C284" t="s">
        <v>85</v>
      </c>
      <c r="D284" s="1" t="s">
        <v>954</v>
      </c>
      <c r="E284" t="s">
        <v>1474</v>
      </c>
      <c r="F284" t="s">
        <v>34</v>
      </c>
      <c r="G284" t="s">
        <v>12</v>
      </c>
      <c r="H284" t="s">
        <v>1994</v>
      </c>
      <c r="I284" t="s">
        <v>50</v>
      </c>
      <c r="J284" t="s">
        <v>2514</v>
      </c>
      <c r="K284" t="s">
        <v>5</v>
      </c>
      <c r="L284" s="22">
        <v>6</v>
      </c>
      <c r="M284" s="30">
        <v>1</v>
      </c>
      <c r="N284" s="11" t="s">
        <v>5</v>
      </c>
      <c r="O284" s="22">
        <v>65</v>
      </c>
      <c r="P284" s="1">
        <v>65</v>
      </c>
      <c r="R284" t="s">
        <v>40</v>
      </c>
    </row>
    <row r="285" spans="1:18" x14ac:dyDescent="0.25">
      <c r="A285" t="s">
        <v>435</v>
      </c>
      <c r="B285" t="s">
        <v>78</v>
      </c>
      <c r="C285" t="s">
        <v>79</v>
      </c>
      <c r="D285" s="1" t="s">
        <v>955</v>
      </c>
      <c r="E285" t="s">
        <v>1475</v>
      </c>
      <c r="F285" t="s">
        <v>34</v>
      </c>
      <c r="G285" t="s">
        <v>12</v>
      </c>
      <c r="H285" t="s">
        <v>1995</v>
      </c>
      <c r="I285" t="s">
        <v>58</v>
      </c>
      <c r="J285" t="s">
        <v>2515</v>
      </c>
      <c r="K285" t="s">
        <v>5</v>
      </c>
      <c r="L285" s="22">
        <v>6</v>
      </c>
      <c r="M285" s="30">
        <v>1</v>
      </c>
      <c r="N285" s="11" t="s">
        <v>5</v>
      </c>
      <c r="O285" s="22">
        <v>91</v>
      </c>
      <c r="P285" s="1">
        <v>91</v>
      </c>
      <c r="R285" t="s">
        <v>40</v>
      </c>
    </row>
    <row r="286" spans="1:18" x14ac:dyDescent="0.25">
      <c r="A286" t="s">
        <v>436</v>
      </c>
      <c r="B286" t="s">
        <v>136</v>
      </c>
      <c r="C286" t="s">
        <v>63</v>
      </c>
      <c r="D286" s="1" t="s">
        <v>956</v>
      </c>
      <c r="E286" t="s">
        <v>1476</v>
      </c>
      <c r="F286" t="s">
        <v>38</v>
      </c>
      <c r="G286" t="s">
        <v>12</v>
      </c>
      <c r="H286" t="s">
        <v>1996</v>
      </c>
      <c r="I286" t="s">
        <v>137</v>
      </c>
      <c r="J286" t="s">
        <v>2516</v>
      </c>
      <c r="K286" t="s">
        <v>5</v>
      </c>
      <c r="L286" s="22">
        <v>5</v>
      </c>
      <c r="M286" s="30">
        <v>1</v>
      </c>
      <c r="N286" s="11" t="s">
        <v>5</v>
      </c>
      <c r="O286" s="22">
        <v>62</v>
      </c>
      <c r="P286" s="1">
        <v>62</v>
      </c>
      <c r="R286" t="s">
        <v>40</v>
      </c>
    </row>
    <row r="287" spans="1:18" x14ac:dyDescent="0.25">
      <c r="A287" t="s">
        <v>437</v>
      </c>
      <c r="B287" t="s">
        <v>67</v>
      </c>
      <c r="C287" t="s">
        <v>48</v>
      </c>
      <c r="D287" s="1" t="s">
        <v>957</v>
      </c>
      <c r="E287" t="s">
        <v>1477</v>
      </c>
      <c r="F287" t="s">
        <v>70</v>
      </c>
      <c r="G287" t="s">
        <v>12</v>
      </c>
      <c r="H287" t="s">
        <v>1997</v>
      </c>
      <c r="I287" t="s">
        <v>35</v>
      </c>
      <c r="J287" t="s">
        <v>2517</v>
      </c>
      <c r="K287" t="s">
        <v>5</v>
      </c>
      <c r="L287" s="22">
        <v>9</v>
      </c>
      <c r="M287" s="31">
        <v>0.35714285714285715</v>
      </c>
      <c r="N287" s="11" t="s">
        <v>6</v>
      </c>
      <c r="O287" s="22">
        <v>84</v>
      </c>
      <c r="P287" s="1">
        <v>30</v>
      </c>
      <c r="R287" t="s">
        <v>40</v>
      </c>
    </row>
    <row r="288" spans="1:18" x14ac:dyDescent="0.25">
      <c r="A288" t="s">
        <v>438</v>
      </c>
      <c r="B288" t="s">
        <v>67</v>
      </c>
      <c r="C288" t="s">
        <v>48</v>
      </c>
      <c r="D288" s="1" t="s">
        <v>958</v>
      </c>
      <c r="E288" t="s">
        <v>1478</v>
      </c>
      <c r="F288" t="s">
        <v>41</v>
      </c>
      <c r="G288" t="s">
        <v>12</v>
      </c>
      <c r="H288" t="s">
        <v>1998</v>
      </c>
      <c r="I288" t="s">
        <v>42</v>
      </c>
      <c r="J288" t="s">
        <v>2518</v>
      </c>
      <c r="K288" t="s">
        <v>5</v>
      </c>
      <c r="L288" s="22">
        <v>7</v>
      </c>
      <c r="M288" s="30">
        <v>1</v>
      </c>
      <c r="N288" s="11" t="s">
        <v>5</v>
      </c>
      <c r="O288" s="1">
        <v>84</v>
      </c>
      <c r="P288" s="1">
        <v>84</v>
      </c>
      <c r="R288" t="s">
        <v>40</v>
      </c>
    </row>
    <row r="289" spans="1:18" x14ac:dyDescent="0.25">
      <c r="A289" t="s">
        <v>439</v>
      </c>
      <c r="B289" t="s">
        <v>53</v>
      </c>
      <c r="C289" t="s">
        <v>48</v>
      </c>
      <c r="D289" s="1" t="s">
        <v>959</v>
      </c>
      <c r="E289" t="s">
        <v>1479</v>
      </c>
      <c r="F289" t="s">
        <v>34</v>
      </c>
      <c r="G289" t="s">
        <v>12</v>
      </c>
      <c r="H289" t="s">
        <v>1999</v>
      </c>
      <c r="I289" t="s">
        <v>101</v>
      </c>
      <c r="J289" t="s">
        <v>2519</v>
      </c>
      <c r="K289" t="s">
        <v>5</v>
      </c>
      <c r="L289" s="22">
        <v>9</v>
      </c>
      <c r="M289" s="31">
        <v>1</v>
      </c>
      <c r="N289" s="11" t="s">
        <v>5</v>
      </c>
      <c r="O289" s="22">
        <v>114</v>
      </c>
      <c r="P289" s="1">
        <v>114</v>
      </c>
      <c r="R289" t="s">
        <v>40</v>
      </c>
    </row>
    <row r="290" spans="1:18" x14ac:dyDescent="0.25">
      <c r="A290" t="s">
        <v>440</v>
      </c>
      <c r="B290" t="s">
        <v>83</v>
      </c>
      <c r="C290" t="s">
        <v>57</v>
      </c>
      <c r="D290" s="1" t="s">
        <v>960</v>
      </c>
      <c r="E290" t="s">
        <v>1480</v>
      </c>
      <c r="F290" t="s">
        <v>34</v>
      </c>
      <c r="G290" t="s">
        <v>11</v>
      </c>
      <c r="H290" t="s">
        <v>2000</v>
      </c>
      <c r="I290" t="s">
        <v>46</v>
      </c>
      <c r="J290" t="s">
        <v>2520</v>
      </c>
      <c r="K290" t="s">
        <v>5</v>
      </c>
      <c r="L290" s="22">
        <v>7</v>
      </c>
      <c r="M290" s="30">
        <v>1</v>
      </c>
      <c r="N290" s="11" t="s">
        <v>5</v>
      </c>
      <c r="O290" s="1">
        <v>52</v>
      </c>
      <c r="P290" s="1">
        <v>52</v>
      </c>
      <c r="R290" t="s">
        <v>40</v>
      </c>
    </row>
    <row r="291" spans="1:18" x14ac:dyDescent="0.25">
      <c r="A291" t="s">
        <v>441</v>
      </c>
      <c r="B291" t="s">
        <v>77</v>
      </c>
      <c r="C291" t="s">
        <v>57</v>
      </c>
      <c r="D291" s="1" t="s">
        <v>961</v>
      </c>
      <c r="E291" t="s">
        <v>1481</v>
      </c>
      <c r="F291" t="s">
        <v>34</v>
      </c>
      <c r="G291" t="s">
        <v>8</v>
      </c>
      <c r="H291" t="s">
        <v>2001</v>
      </c>
      <c r="I291" t="s">
        <v>61</v>
      </c>
      <c r="J291" t="s">
        <v>2521</v>
      </c>
      <c r="K291" t="s">
        <v>5</v>
      </c>
      <c r="L291" s="22">
        <v>7</v>
      </c>
      <c r="M291" s="31">
        <v>1</v>
      </c>
      <c r="N291" s="11" t="s">
        <v>5</v>
      </c>
      <c r="O291" s="22">
        <v>78</v>
      </c>
      <c r="P291" s="1">
        <v>78</v>
      </c>
      <c r="R291" t="s">
        <v>40</v>
      </c>
    </row>
    <row r="292" spans="1:18" x14ac:dyDescent="0.25">
      <c r="A292" t="s">
        <v>442</v>
      </c>
      <c r="B292" t="s">
        <v>90</v>
      </c>
      <c r="C292" t="s">
        <v>91</v>
      </c>
      <c r="D292" s="1" t="s">
        <v>962</v>
      </c>
      <c r="E292" t="s">
        <v>1482</v>
      </c>
      <c r="F292" t="s">
        <v>34</v>
      </c>
      <c r="G292" t="s">
        <v>8</v>
      </c>
      <c r="H292" t="s">
        <v>2002</v>
      </c>
      <c r="I292" t="s">
        <v>61</v>
      </c>
      <c r="J292" t="s">
        <v>2522</v>
      </c>
      <c r="K292" t="s">
        <v>5</v>
      </c>
      <c r="L292" s="22">
        <v>7</v>
      </c>
      <c r="M292" s="31">
        <v>1</v>
      </c>
      <c r="N292" s="11" t="s">
        <v>5</v>
      </c>
      <c r="O292" s="22">
        <v>58</v>
      </c>
      <c r="P292" s="1">
        <v>58</v>
      </c>
      <c r="R292" t="s">
        <v>40</v>
      </c>
    </row>
    <row r="293" spans="1:18" x14ac:dyDescent="0.25">
      <c r="A293" t="s">
        <v>443</v>
      </c>
      <c r="B293" t="s">
        <v>32</v>
      </c>
      <c r="C293" t="s">
        <v>33</v>
      </c>
      <c r="D293" s="1" t="s">
        <v>963</v>
      </c>
      <c r="E293" t="s">
        <v>1483</v>
      </c>
      <c r="F293" t="s">
        <v>138</v>
      </c>
      <c r="G293" t="s">
        <v>12</v>
      </c>
      <c r="H293" t="s">
        <v>2003</v>
      </c>
      <c r="I293" t="s">
        <v>35</v>
      </c>
      <c r="J293" t="s">
        <v>2523</v>
      </c>
      <c r="K293" t="s">
        <v>5</v>
      </c>
      <c r="L293" s="22">
        <v>7</v>
      </c>
      <c r="M293" s="30">
        <v>1</v>
      </c>
      <c r="N293" s="11" t="s">
        <v>5</v>
      </c>
      <c r="O293" s="1">
        <v>82</v>
      </c>
      <c r="P293" s="1">
        <v>82</v>
      </c>
    </row>
    <row r="294" spans="1:18" x14ac:dyDescent="0.25">
      <c r="A294" t="s">
        <v>444</v>
      </c>
      <c r="B294" t="s">
        <v>73</v>
      </c>
      <c r="C294" t="s">
        <v>74</v>
      </c>
      <c r="D294" s="1" t="s">
        <v>964</v>
      </c>
      <c r="E294" t="s">
        <v>1484</v>
      </c>
      <c r="F294" t="s">
        <v>75</v>
      </c>
      <c r="G294" t="s">
        <v>11</v>
      </c>
      <c r="H294" t="s">
        <v>2004</v>
      </c>
      <c r="I294" t="s">
        <v>46</v>
      </c>
      <c r="J294" t="s">
        <v>2524</v>
      </c>
      <c r="K294" t="s">
        <v>5</v>
      </c>
      <c r="L294" s="22">
        <v>7</v>
      </c>
      <c r="M294" s="31">
        <v>0.58974358974358976</v>
      </c>
      <c r="N294" s="11" t="s">
        <v>6</v>
      </c>
      <c r="O294" s="22">
        <v>78</v>
      </c>
      <c r="P294" s="1">
        <v>46</v>
      </c>
      <c r="R294" t="s">
        <v>40</v>
      </c>
    </row>
    <row r="295" spans="1:18" x14ac:dyDescent="0.25">
      <c r="A295" t="s">
        <v>445</v>
      </c>
      <c r="B295" t="s">
        <v>53</v>
      </c>
      <c r="C295" t="s">
        <v>48</v>
      </c>
      <c r="D295" s="1" t="s">
        <v>965</v>
      </c>
      <c r="E295" t="s">
        <v>1485</v>
      </c>
      <c r="F295" t="s">
        <v>34</v>
      </c>
      <c r="G295" t="s">
        <v>12</v>
      </c>
      <c r="H295" t="s">
        <v>2005</v>
      </c>
      <c r="I295" t="s">
        <v>68</v>
      </c>
      <c r="J295" t="s">
        <v>2525</v>
      </c>
      <c r="K295" t="s">
        <v>5</v>
      </c>
      <c r="L295" s="22">
        <v>9</v>
      </c>
      <c r="M295" s="31">
        <v>0.21794871794871795</v>
      </c>
      <c r="N295" s="11" t="s">
        <v>6</v>
      </c>
      <c r="O295" s="22">
        <v>78</v>
      </c>
      <c r="P295" s="1">
        <v>17</v>
      </c>
      <c r="R295" t="s">
        <v>40</v>
      </c>
    </row>
    <row r="296" spans="1:18" x14ac:dyDescent="0.25">
      <c r="A296" t="s">
        <v>446</v>
      </c>
      <c r="B296" t="s">
        <v>67</v>
      </c>
      <c r="C296" t="s">
        <v>48</v>
      </c>
      <c r="D296" s="1" t="s">
        <v>966</v>
      </c>
      <c r="E296" t="s">
        <v>1486</v>
      </c>
      <c r="F296" t="s">
        <v>34</v>
      </c>
      <c r="G296" t="s">
        <v>12</v>
      </c>
      <c r="H296" t="s">
        <v>2006</v>
      </c>
      <c r="I296" t="s">
        <v>59</v>
      </c>
      <c r="J296" t="s">
        <v>2526</v>
      </c>
      <c r="K296" t="s">
        <v>5</v>
      </c>
      <c r="L296" s="22">
        <v>7</v>
      </c>
      <c r="M296" s="31">
        <v>1</v>
      </c>
      <c r="N296" s="11" t="s">
        <v>5</v>
      </c>
      <c r="O296" s="22">
        <v>78</v>
      </c>
      <c r="P296" s="1">
        <v>78</v>
      </c>
      <c r="R296" t="s">
        <v>40</v>
      </c>
    </row>
    <row r="297" spans="1:18" x14ac:dyDescent="0.25">
      <c r="A297" t="s">
        <v>447</v>
      </c>
      <c r="B297" t="s">
        <v>67</v>
      </c>
      <c r="C297" t="s">
        <v>48</v>
      </c>
      <c r="D297" s="1" t="s">
        <v>967</v>
      </c>
      <c r="E297" t="s">
        <v>1487</v>
      </c>
      <c r="F297" t="s">
        <v>41</v>
      </c>
      <c r="G297" t="s">
        <v>12</v>
      </c>
      <c r="H297" t="s">
        <v>2007</v>
      </c>
      <c r="I297" t="s">
        <v>103</v>
      </c>
      <c r="J297" t="s">
        <v>2527</v>
      </c>
      <c r="K297" t="s">
        <v>5</v>
      </c>
      <c r="L297" s="22">
        <v>9</v>
      </c>
      <c r="M297" s="30">
        <v>0.12037037037037036</v>
      </c>
      <c r="N297" s="11" t="s">
        <v>6</v>
      </c>
      <c r="O297" s="1">
        <v>108</v>
      </c>
      <c r="P297" s="1">
        <v>13</v>
      </c>
    </row>
    <row r="298" spans="1:18" x14ac:dyDescent="0.25">
      <c r="A298" t="s">
        <v>448</v>
      </c>
      <c r="B298" t="s">
        <v>67</v>
      </c>
      <c r="C298" t="s">
        <v>48</v>
      </c>
      <c r="D298" s="1" t="s">
        <v>968</v>
      </c>
      <c r="E298" t="s">
        <v>1488</v>
      </c>
      <c r="F298" t="s">
        <v>75</v>
      </c>
      <c r="G298" t="s">
        <v>12</v>
      </c>
      <c r="H298" t="s">
        <v>2008</v>
      </c>
      <c r="I298" t="s">
        <v>42</v>
      </c>
      <c r="J298" t="s">
        <v>2528</v>
      </c>
      <c r="K298" t="s">
        <v>5</v>
      </c>
      <c r="L298" s="22">
        <v>7</v>
      </c>
      <c r="M298" s="30">
        <v>0.85483870967741937</v>
      </c>
      <c r="N298" s="11" t="s">
        <v>6</v>
      </c>
      <c r="O298" s="1">
        <v>62</v>
      </c>
      <c r="P298" s="1">
        <v>53</v>
      </c>
    </row>
    <row r="299" spans="1:18" x14ac:dyDescent="0.25">
      <c r="A299" t="s">
        <v>449</v>
      </c>
      <c r="B299" t="s">
        <v>62</v>
      </c>
      <c r="C299" t="s">
        <v>63</v>
      </c>
      <c r="D299" s="1" t="s">
        <v>969</v>
      </c>
      <c r="E299" t="s">
        <v>1489</v>
      </c>
      <c r="F299" t="s">
        <v>34</v>
      </c>
      <c r="G299" t="s">
        <v>12</v>
      </c>
      <c r="H299" t="s">
        <v>2009</v>
      </c>
      <c r="I299" t="s">
        <v>107</v>
      </c>
      <c r="J299" t="s">
        <v>2529</v>
      </c>
      <c r="K299" t="s">
        <v>5</v>
      </c>
      <c r="L299" s="22">
        <v>7</v>
      </c>
      <c r="M299" s="30">
        <v>1</v>
      </c>
      <c r="N299" s="11" t="s">
        <v>5</v>
      </c>
      <c r="O299" s="1">
        <v>82</v>
      </c>
      <c r="P299" s="1">
        <v>82</v>
      </c>
    </row>
    <row r="300" spans="1:18" x14ac:dyDescent="0.25">
      <c r="A300" t="s">
        <v>450</v>
      </c>
      <c r="B300" t="s">
        <v>62</v>
      </c>
      <c r="C300" t="s">
        <v>63</v>
      </c>
      <c r="D300" s="1" t="s">
        <v>970</v>
      </c>
      <c r="E300" t="s">
        <v>1490</v>
      </c>
      <c r="F300" t="s">
        <v>41</v>
      </c>
      <c r="G300" t="s">
        <v>12</v>
      </c>
      <c r="H300" t="s">
        <v>2010</v>
      </c>
      <c r="I300" t="s">
        <v>52</v>
      </c>
      <c r="J300" t="s">
        <v>2530</v>
      </c>
      <c r="K300" t="s">
        <v>5</v>
      </c>
      <c r="L300" s="22">
        <v>5</v>
      </c>
      <c r="M300" s="30">
        <v>1</v>
      </c>
      <c r="N300" s="11" t="s">
        <v>5</v>
      </c>
      <c r="O300" s="22">
        <v>62</v>
      </c>
      <c r="P300" s="1">
        <v>62</v>
      </c>
      <c r="R300" t="s">
        <v>40</v>
      </c>
    </row>
    <row r="301" spans="1:18" x14ac:dyDescent="0.25">
      <c r="A301" t="s">
        <v>451</v>
      </c>
      <c r="B301" t="s">
        <v>88</v>
      </c>
      <c r="C301" t="s">
        <v>48</v>
      </c>
      <c r="D301" s="1" t="s">
        <v>971</v>
      </c>
      <c r="E301" t="s">
        <v>1491</v>
      </c>
      <c r="F301" t="s">
        <v>34</v>
      </c>
      <c r="G301" t="s">
        <v>12</v>
      </c>
      <c r="H301" t="s">
        <v>2011</v>
      </c>
      <c r="I301" t="s">
        <v>68</v>
      </c>
      <c r="J301" t="s">
        <v>2531</v>
      </c>
      <c r="K301" t="s">
        <v>5</v>
      </c>
      <c r="L301" s="22">
        <v>9</v>
      </c>
      <c r="M301" s="31">
        <v>0.64150943396226412</v>
      </c>
      <c r="N301" s="11" t="s">
        <v>6</v>
      </c>
      <c r="O301" s="22">
        <v>106</v>
      </c>
      <c r="P301" s="1">
        <v>68</v>
      </c>
      <c r="R301" t="s">
        <v>40</v>
      </c>
    </row>
    <row r="302" spans="1:18" x14ac:dyDescent="0.25">
      <c r="A302" t="s">
        <v>452</v>
      </c>
      <c r="B302" t="s">
        <v>67</v>
      </c>
      <c r="C302" t="s">
        <v>48</v>
      </c>
      <c r="D302" s="1" t="s">
        <v>972</v>
      </c>
      <c r="E302" t="s">
        <v>1492</v>
      </c>
      <c r="F302" t="s">
        <v>82</v>
      </c>
      <c r="G302" t="s">
        <v>12</v>
      </c>
      <c r="H302" t="s">
        <v>2012</v>
      </c>
      <c r="I302" t="s">
        <v>54</v>
      </c>
      <c r="J302" t="s">
        <v>2532</v>
      </c>
      <c r="K302" t="s">
        <v>5</v>
      </c>
      <c r="L302" s="22">
        <v>7</v>
      </c>
      <c r="M302" s="31">
        <v>1</v>
      </c>
      <c r="N302" s="11" t="s">
        <v>5</v>
      </c>
      <c r="O302" s="22">
        <v>62</v>
      </c>
      <c r="P302" s="1">
        <v>62</v>
      </c>
      <c r="R302" t="s">
        <v>40</v>
      </c>
    </row>
    <row r="303" spans="1:18" x14ac:dyDescent="0.25">
      <c r="A303" t="s">
        <v>453</v>
      </c>
      <c r="B303" t="s">
        <v>98</v>
      </c>
      <c r="C303" t="s">
        <v>74</v>
      </c>
      <c r="D303" s="1" t="s">
        <v>973</v>
      </c>
      <c r="E303" t="s">
        <v>1493</v>
      </c>
      <c r="F303" t="s">
        <v>34</v>
      </c>
      <c r="G303" t="s">
        <v>8</v>
      </c>
      <c r="H303" t="s">
        <v>2013</v>
      </c>
      <c r="I303" t="s">
        <v>61</v>
      </c>
      <c r="J303" t="s">
        <v>2533</v>
      </c>
      <c r="K303" t="s">
        <v>5</v>
      </c>
      <c r="L303" s="22">
        <v>5</v>
      </c>
      <c r="M303" s="31">
        <v>1</v>
      </c>
      <c r="N303" s="11" t="s">
        <v>5</v>
      </c>
      <c r="O303" s="22">
        <v>46</v>
      </c>
      <c r="P303" s="1">
        <v>46</v>
      </c>
      <c r="R303" t="s">
        <v>40</v>
      </c>
    </row>
    <row r="304" spans="1:18" x14ac:dyDescent="0.25">
      <c r="A304" t="s">
        <v>454</v>
      </c>
      <c r="B304" t="s">
        <v>60</v>
      </c>
      <c r="C304" t="s">
        <v>37</v>
      </c>
      <c r="D304" s="1" t="s">
        <v>974</v>
      </c>
      <c r="E304" t="s">
        <v>1494</v>
      </c>
      <c r="F304" t="s">
        <v>34</v>
      </c>
      <c r="G304" t="s">
        <v>8</v>
      </c>
      <c r="H304" t="s">
        <v>2014</v>
      </c>
      <c r="I304" t="s">
        <v>61</v>
      </c>
      <c r="J304" t="s">
        <v>2534</v>
      </c>
      <c r="K304" t="s">
        <v>5</v>
      </c>
      <c r="L304" s="22">
        <v>7</v>
      </c>
      <c r="M304" s="31">
        <v>0.11538461538461539</v>
      </c>
      <c r="N304" s="11" t="s">
        <v>6</v>
      </c>
      <c r="O304" s="22">
        <v>78</v>
      </c>
      <c r="P304" s="1">
        <v>9</v>
      </c>
      <c r="R304" t="s">
        <v>40</v>
      </c>
    </row>
    <row r="305" spans="1:18" x14ac:dyDescent="0.25">
      <c r="A305" t="s">
        <v>455</v>
      </c>
      <c r="B305" t="s">
        <v>53</v>
      </c>
      <c r="C305" t="s">
        <v>48</v>
      </c>
      <c r="D305" s="1" t="s">
        <v>975</v>
      </c>
      <c r="E305" t="s">
        <v>1495</v>
      </c>
      <c r="F305" t="s">
        <v>34</v>
      </c>
      <c r="G305" t="s">
        <v>11</v>
      </c>
      <c r="H305" t="s">
        <v>2015</v>
      </c>
      <c r="I305" t="s">
        <v>46</v>
      </c>
      <c r="J305" t="s">
        <v>2535</v>
      </c>
      <c r="K305" t="s">
        <v>5</v>
      </c>
      <c r="L305" s="22">
        <v>9</v>
      </c>
      <c r="M305" s="30">
        <v>1</v>
      </c>
      <c r="N305" s="11" t="s">
        <v>5</v>
      </c>
      <c r="O305" s="1">
        <v>76</v>
      </c>
      <c r="P305" s="1">
        <v>76</v>
      </c>
      <c r="R305" t="s">
        <v>40</v>
      </c>
    </row>
    <row r="306" spans="1:18" x14ac:dyDescent="0.25">
      <c r="A306" t="s">
        <v>456</v>
      </c>
      <c r="B306" t="s">
        <v>83</v>
      </c>
      <c r="C306" t="s">
        <v>57</v>
      </c>
      <c r="D306" s="1" t="s">
        <v>976</v>
      </c>
      <c r="E306" t="s">
        <v>1496</v>
      </c>
      <c r="F306" t="s">
        <v>34</v>
      </c>
      <c r="G306" t="s">
        <v>11</v>
      </c>
      <c r="H306" t="s">
        <v>2016</v>
      </c>
      <c r="I306" t="s">
        <v>108</v>
      </c>
      <c r="J306" t="s">
        <v>2536</v>
      </c>
      <c r="K306" t="s">
        <v>5</v>
      </c>
      <c r="L306" s="22">
        <v>7</v>
      </c>
      <c r="M306" s="30">
        <v>0.67241379310344829</v>
      </c>
      <c r="N306" s="11" t="s">
        <v>6</v>
      </c>
      <c r="O306" s="1">
        <v>58</v>
      </c>
      <c r="P306" s="1">
        <v>39</v>
      </c>
    </row>
    <row r="307" spans="1:18" x14ac:dyDescent="0.25">
      <c r="A307" t="s">
        <v>457</v>
      </c>
      <c r="B307" t="s">
        <v>53</v>
      </c>
      <c r="C307" t="s">
        <v>48</v>
      </c>
      <c r="D307" s="1" t="s">
        <v>977</v>
      </c>
      <c r="E307" t="s">
        <v>1497</v>
      </c>
      <c r="F307" t="s">
        <v>34</v>
      </c>
      <c r="G307" t="s">
        <v>12</v>
      </c>
      <c r="H307" t="s">
        <v>2017</v>
      </c>
      <c r="I307" t="s">
        <v>64</v>
      </c>
      <c r="J307" t="s">
        <v>2537</v>
      </c>
      <c r="K307" t="s">
        <v>5</v>
      </c>
      <c r="L307" s="22">
        <v>7</v>
      </c>
      <c r="M307" s="30">
        <v>1</v>
      </c>
      <c r="N307" s="11" t="s">
        <v>5</v>
      </c>
      <c r="O307" s="22">
        <v>64</v>
      </c>
      <c r="P307" s="1">
        <v>64</v>
      </c>
      <c r="R307" t="s">
        <v>40</v>
      </c>
    </row>
    <row r="308" spans="1:18" x14ac:dyDescent="0.25">
      <c r="A308" t="s">
        <v>458</v>
      </c>
      <c r="B308" t="s">
        <v>139</v>
      </c>
      <c r="C308" t="s">
        <v>33</v>
      </c>
      <c r="D308" s="1" t="s">
        <v>978</v>
      </c>
      <c r="E308" t="s">
        <v>1498</v>
      </c>
      <c r="F308" t="s">
        <v>75</v>
      </c>
      <c r="G308" t="s">
        <v>12</v>
      </c>
      <c r="H308" t="s">
        <v>2018</v>
      </c>
      <c r="I308" t="s">
        <v>103</v>
      </c>
      <c r="J308" t="s">
        <v>2538</v>
      </c>
      <c r="K308" t="s">
        <v>5</v>
      </c>
      <c r="L308" s="22">
        <v>9</v>
      </c>
      <c r="M308" s="30">
        <v>1</v>
      </c>
      <c r="N308" s="11" t="s">
        <v>5</v>
      </c>
      <c r="O308" s="1">
        <v>100</v>
      </c>
      <c r="P308" s="1">
        <v>100</v>
      </c>
      <c r="R308" t="s">
        <v>40</v>
      </c>
    </row>
    <row r="309" spans="1:18" x14ac:dyDescent="0.25">
      <c r="A309" t="s">
        <v>459</v>
      </c>
      <c r="B309" t="s">
        <v>88</v>
      </c>
      <c r="C309" t="s">
        <v>48</v>
      </c>
      <c r="D309" s="1" t="s">
        <v>979</v>
      </c>
      <c r="E309" t="s">
        <v>1499</v>
      </c>
      <c r="F309" t="s">
        <v>49</v>
      </c>
      <c r="G309" t="s">
        <v>12</v>
      </c>
      <c r="H309" t="s">
        <v>2019</v>
      </c>
      <c r="I309" t="s">
        <v>42</v>
      </c>
      <c r="J309" t="s">
        <v>2539</v>
      </c>
      <c r="K309" t="s">
        <v>5</v>
      </c>
      <c r="L309" s="22">
        <v>7</v>
      </c>
      <c r="M309" s="30">
        <v>0.5</v>
      </c>
      <c r="N309" s="11" t="s">
        <v>6</v>
      </c>
      <c r="O309" s="22">
        <v>62</v>
      </c>
      <c r="P309" s="1">
        <v>31</v>
      </c>
      <c r="R309" t="s">
        <v>40</v>
      </c>
    </row>
    <row r="310" spans="1:18" x14ac:dyDescent="0.25">
      <c r="A310" t="s">
        <v>460</v>
      </c>
      <c r="B310" t="s">
        <v>53</v>
      </c>
      <c r="C310" t="s">
        <v>48</v>
      </c>
      <c r="D310" s="1" t="s">
        <v>980</v>
      </c>
      <c r="E310" t="s">
        <v>1500</v>
      </c>
      <c r="F310" t="s">
        <v>34</v>
      </c>
      <c r="G310" t="s">
        <v>11</v>
      </c>
      <c r="H310" t="s">
        <v>2020</v>
      </c>
      <c r="I310" t="s">
        <v>108</v>
      </c>
      <c r="J310" t="s">
        <v>2540</v>
      </c>
      <c r="K310" t="s">
        <v>5</v>
      </c>
      <c r="L310" s="22">
        <v>7</v>
      </c>
      <c r="M310" s="30">
        <v>1</v>
      </c>
      <c r="N310" s="11" t="s">
        <v>5</v>
      </c>
      <c r="O310" s="1">
        <v>58</v>
      </c>
      <c r="P310" s="1">
        <v>58</v>
      </c>
      <c r="R310" t="s">
        <v>40</v>
      </c>
    </row>
    <row r="311" spans="1:18" x14ac:dyDescent="0.25">
      <c r="A311" t="s">
        <v>461</v>
      </c>
      <c r="B311" t="s">
        <v>47</v>
      </c>
      <c r="C311" t="s">
        <v>48</v>
      </c>
      <c r="D311" s="1" t="s">
        <v>981</v>
      </c>
      <c r="E311" t="s">
        <v>1501</v>
      </c>
      <c r="F311" t="s">
        <v>43</v>
      </c>
      <c r="G311" t="s">
        <v>12</v>
      </c>
      <c r="H311" t="s">
        <v>2021</v>
      </c>
      <c r="I311" t="s">
        <v>42</v>
      </c>
      <c r="J311" t="s">
        <v>2541</v>
      </c>
      <c r="K311" t="s">
        <v>5</v>
      </c>
      <c r="L311" s="22">
        <v>7</v>
      </c>
      <c r="M311" s="30">
        <v>1</v>
      </c>
      <c r="N311" s="11" t="s">
        <v>5</v>
      </c>
      <c r="O311" s="22">
        <v>78</v>
      </c>
      <c r="P311" s="1">
        <v>78</v>
      </c>
      <c r="Q311" t="s">
        <v>44</v>
      </c>
      <c r="R311" t="s">
        <v>40</v>
      </c>
    </row>
    <row r="312" spans="1:18" x14ac:dyDescent="0.25">
      <c r="A312" t="s">
        <v>462</v>
      </c>
      <c r="B312" t="s">
        <v>128</v>
      </c>
      <c r="C312" t="s">
        <v>128</v>
      </c>
      <c r="D312" s="1" t="s">
        <v>982</v>
      </c>
      <c r="E312" t="s">
        <v>1502</v>
      </c>
      <c r="F312" t="s">
        <v>41</v>
      </c>
      <c r="G312" t="s">
        <v>12</v>
      </c>
      <c r="H312" t="s">
        <v>2022</v>
      </c>
      <c r="I312" t="s">
        <v>42</v>
      </c>
      <c r="J312" t="s">
        <v>2542</v>
      </c>
      <c r="K312" t="s">
        <v>5</v>
      </c>
      <c r="L312" s="22">
        <v>9</v>
      </c>
      <c r="M312" s="30">
        <v>0.70192307692307687</v>
      </c>
      <c r="N312" s="11" t="s">
        <v>6</v>
      </c>
      <c r="O312" s="1">
        <v>104</v>
      </c>
      <c r="P312" s="1">
        <v>73</v>
      </c>
    </row>
    <row r="313" spans="1:18" x14ac:dyDescent="0.25">
      <c r="A313" t="s">
        <v>463</v>
      </c>
      <c r="B313" t="s">
        <v>45</v>
      </c>
      <c r="C313" t="s">
        <v>37</v>
      </c>
      <c r="D313" s="1" t="s">
        <v>983</v>
      </c>
      <c r="E313" t="s">
        <v>1503</v>
      </c>
      <c r="F313" t="s">
        <v>34</v>
      </c>
      <c r="G313" t="s">
        <v>11</v>
      </c>
      <c r="H313" t="s">
        <v>2023</v>
      </c>
      <c r="I313" t="s">
        <v>108</v>
      </c>
      <c r="J313" t="s">
        <v>2543</v>
      </c>
      <c r="K313" t="s">
        <v>5</v>
      </c>
      <c r="L313" s="22">
        <v>7</v>
      </c>
      <c r="M313" s="30">
        <v>0.51724137931034486</v>
      </c>
      <c r="N313" s="11" t="s">
        <v>6</v>
      </c>
      <c r="O313" s="1">
        <v>58</v>
      </c>
      <c r="P313" s="1">
        <v>30</v>
      </c>
      <c r="R313" t="s">
        <v>40</v>
      </c>
    </row>
    <row r="314" spans="1:18" x14ac:dyDescent="0.25">
      <c r="A314" t="s">
        <v>464</v>
      </c>
      <c r="B314" t="s">
        <v>32</v>
      </c>
      <c r="C314" t="s">
        <v>33</v>
      </c>
      <c r="D314" s="1" t="s">
        <v>984</v>
      </c>
      <c r="E314" t="s">
        <v>1504</v>
      </c>
      <c r="F314" t="s">
        <v>41</v>
      </c>
      <c r="G314" t="s">
        <v>12</v>
      </c>
      <c r="H314" t="s">
        <v>2024</v>
      </c>
      <c r="I314" t="s">
        <v>95</v>
      </c>
      <c r="J314" t="s">
        <v>2544</v>
      </c>
      <c r="K314" t="s">
        <v>5</v>
      </c>
      <c r="L314" s="22">
        <v>5</v>
      </c>
      <c r="M314" s="30">
        <v>1</v>
      </c>
      <c r="N314" s="11" t="s">
        <v>5</v>
      </c>
      <c r="O314" s="22">
        <v>76</v>
      </c>
      <c r="P314" s="1">
        <v>76</v>
      </c>
      <c r="R314" t="s">
        <v>40</v>
      </c>
    </row>
    <row r="315" spans="1:18" x14ac:dyDescent="0.25">
      <c r="A315" t="s">
        <v>465</v>
      </c>
      <c r="B315" t="s">
        <v>83</v>
      </c>
      <c r="C315" t="s">
        <v>57</v>
      </c>
      <c r="D315" s="1" t="s">
        <v>985</v>
      </c>
      <c r="E315" t="s">
        <v>1505</v>
      </c>
      <c r="F315" t="s">
        <v>34</v>
      </c>
      <c r="G315" t="s">
        <v>11</v>
      </c>
      <c r="H315" t="s">
        <v>2025</v>
      </c>
      <c r="I315" t="s">
        <v>100</v>
      </c>
      <c r="J315" t="s">
        <v>2545</v>
      </c>
      <c r="K315" t="s">
        <v>5</v>
      </c>
      <c r="L315" s="22">
        <v>7</v>
      </c>
      <c r="M315" s="30">
        <v>1</v>
      </c>
      <c r="N315" s="11" t="s">
        <v>5</v>
      </c>
      <c r="O315" s="1">
        <v>78</v>
      </c>
      <c r="P315" s="1">
        <v>78</v>
      </c>
    </row>
    <row r="316" spans="1:18" x14ac:dyDescent="0.25">
      <c r="A316" t="s">
        <v>466</v>
      </c>
      <c r="B316" t="s">
        <v>112</v>
      </c>
      <c r="C316" t="s">
        <v>85</v>
      </c>
      <c r="D316" s="1" t="s">
        <v>986</v>
      </c>
      <c r="E316" t="s">
        <v>1506</v>
      </c>
      <c r="F316" t="s">
        <v>43</v>
      </c>
      <c r="G316" t="s">
        <v>11</v>
      </c>
      <c r="H316" t="s">
        <v>2026</v>
      </c>
      <c r="I316" t="s">
        <v>46</v>
      </c>
      <c r="J316" t="s">
        <v>2546</v>
      </c>
      <c r="K316" t="s">
        <v>5</v>
      </c>
      <c r="L316" s="22">
        <v>8</v>
      </c>
      <c r="M316" s="30">
        <v>1</v>
      </c>
      <c r="N316" s="11" t="s">
        <v>5</v>
      </c>
      <c r="O316" s="1">
        <v>83</v>
      </c>
      <c r="P316" s="1">
        <v>83</v>
      </c>
    </row>
    <row r="317" spans="1:18" x14ac:dyDescent="0.25">
      <c r="A317" t="s">
        <v>467</v>
      </c>
      <c r="B317" t="s">
        <v>32</v>
      </c>
      <c r="C317" t="s">
        <v>33</v>
      </c>
      <c r="D317" s="1" t="s">
        <v>987</v>
      </c>
      <c r="E317" t="s">
        <v>1507</v>
      </c>
      <c r="F317" t="s">
        <v>34</v>
      </c>
      <c r="G317" t="s">
        <v>12</v>
      </c>
      <c r="H317" t="s">
        <v>2027</v>
      </c>
      <c r="I317" t="s">
        <v>35</v>
      </c>
      <c r="J317" t="s">
        <v>2547</v>
      </c>
      <c r="K317" t="s">
        <v>5</v>
      </c>
      <c r="L317" s="22">
        <v>6</v>
      </c>
      <c r="M317" s="30">
        <v>1</v>
      </c>
      <c r="N317" s="11" t="s">
        <v>5</v>
      </c>
      <c r="O317" s="1">
        <v>95</v>
      </c>
      <c r="P317" s="1">
        <v>95</v>
      </c>
    </row>
    <row r="318" spans="1:18" x14ac:dyDescent="0.25">
      <c r="A318" t="s">
        <v>468</v>
      </c>
      <c r="B318" t="s">
        <v>62</v>
      </c>
      <c r="C318" t="s">
        <v>63</v>
      </c>
      <c r="D318" s="1" t="s">
        <v>988</v>
      </c>
      <c r="E318" t="s">
        <v>1508</v>
      </c>
      <c r="F318" t="s">
        <v>43</v>
      </c>
      <c r="G318" t="s">
        <v>12</v>
      </c>
      <c r="H318" t="s">
        <v>2028</v>
      </c>
      <c r="I318" t="s">
        <v>35</v>
      </c>
      <c r="J318" t="s">
        <v>2548</v>
      </c>
      <c r="K318" t="s">
        <v>5</v>
      </c>
      <c r="L318" s="22">
        <v>7</v>
      </c>
      <c r="M318" s="30">
        <v>0.51923076923076927</v>
      </c>
      <c r="N318" s="11" t="s">
        <v>6</v>
      </c>
      <c r="O318" s="1">
        <v>52</v>
      </c>
      <c r="P318" s="1">
        <v>27</v>
      </c>
      <c r="R318" t="s">
        <v>40</v>
      </c>
    </row>
    <row r="319" spans="1:18" x14ac:dyDescent="0.25">
      <c r="A319" t="s">
        <v>469</v>
      </c>
      <c r="B319" t="s">
        <v>53</v>
      </c>
      <c r="C319" t="s">
        <v>48</v>
      </c>
      <c r="D319" s="1" t="s">
        <v>989</v>
      </c>
      <c r="E319" t="s">
        <v>1509</v>
      </c>
      <c r="F319" t="s">
        <v>69</v>
      </c>
      <c r="G319" t="s">
        <v>12</v>
      </c>
      <c r="H319" t="s">
        <v>2029</v>
      </c>
      <c r="I319" t="s">
        <v>95</v>
      </c>
      <c r="J319" t="s">
        <v>2549</v>
      </c>
      <c r="K319" t="s">
        <v>5</v>
      </c>
      <c r="L319" s="22">
        <v>9</v>
      </c>
      <c r="M319" s="31">
        <v>1</v>
      </c>
      <c r="N319" s="11" t="s">
        <v>5</v>
      </c>
      <c r="O319" s="22">
        <v>104</v>
      </c>
      <c r="P319" s="1">
        <v>104</v>
      </c>
      <c r="R319" t="s">
        <v>40</v>
      </c>
    </row>
    <row r="320" spans="1:18" x14ac:dyDescent="0.25">
      <c r="A320" t="s">
        <v>470</v>
      </c>
      <c r="B320" t="s">
        <v>67</v>
      </c>
      <c r="C320" t="s">
        <v>48</v>
      </c>
      <c r="D320" s="1" t="s">
        <v>990</v>
      </c>
      <c r="E320" t="s">
        <v>1510</v>
      </c>
      <c r="F320" t="s">
        <v>34</v>
      </c>
      <c r="G320" t="s">
        <v>12</v>
      </c>
      <c r="H320" t="s">
        <v>2030</v>
      </c>
      <c r="I320" t="s">
        <v>68</v>
      </c>
      <c r="J320" t="s">
        <v>2550</v>
      </c>
      <c r="K320" t="s">
        <v>5</v>
      </c>
      <c r="L320" s="22">
        <v>9</v>
      </c>
      <c r="M320" s="31">
        <v>0.10869565217391304</v>
      </c>
      <c r="N320" s="11" t="s">
        <v>6</v>
      </c>
      <c r="O320" s="22">
        <v>92</v>
      </c>
      <c r="P320" s="1">
        <v>10</v>
      </c>
      <c r="R320" t="s">
        <v>40</v>
      </c>
    </row>
    <row r="321" spans="1:18" x14ac:dyDescent="0.25">
      <c r="A321" t="s">
        <v>471</v>
      </c>
      <c r="B321" t="s">
        <v>32</v>
      </c>
      <c r="C321" t="s">
        <v>33</v>
      </c>
      <c r="D321" s="1" t="s">
        <v>991</v>
      </c>
      <c r="E321" t="s">
        <v>1511</v>
      </c>
      <c r="F321" t="s">
        <v>34</v>
      </c>
      <c r="G321" t="s">
        <v>12</v>
      </c>
      <c r="H321" t="s">
        <v>2031</v>
      </c>
      <c r="I321" t="s">
        <v>42</v>
      </c>
      <c r="J321" t="s">
        <v>2551</v>
      </c>
      <c r="K321" t="s">
        <v>5</v>
      </c>
      <c r="L321" s="22">
        <v>7</v>
      </c>
      <c r="M321" s="30">
        <v>0.58536585365853655</v>
      </c>
      <c r="N321" s="11" t="s">
        <v>6</v>
      </c>
      <c r="O321" s="1">
        <v>82</v>
      </c>
      <c r="P321" s="1">
        <v>48</v>
      </c>
    </row>
    <row r="322" spans="1:18" x14ac:dyDescent="0.25">
      <c r="A322" t="s">
        <v>472</v>
      </c>
      <c r="B322" t="s">
        <v>53</v>
      </c>
      <c r="C322" t="s">
        <v>48</v>
      </c>
      <c r="D322" s="1" t="s">
        <v>992</v>
      </c>
      <c r="E322" t="s">
        <v>1512</v>
      </c>
      <c r="F322" t="s">
        <v>75</v>
      </c>
      <c r="G322" t="s">
        <v>12</v>
      </c>
      <c r="H322" t="s">
        <v>2032</v>
      </c>
      <c r="I322" t="s">
        <v>42</v>
      </c>
      <c r="J322" t="s">
        <v>2552</v>
      </c>
      <c r="K322" t="s">
        <v>5</v>
      </c>
      <c r="L322" s="22">
        <v>7</v>
      </c>
      <c r="M322" s="30">
        <v>1</v>
      </c>
      <c r="N322" s="11" t="s">
        <v>5</v>
      </c>
      <c r="O322" s="22">
        <v>62</v>
      </c>
      <c r="P322" s="1">
        <v>62</v>
      </c>
      <c r="R322" t="s">
        <v>40</v>
      </c>
    </row>
    <row r="323" spans="1:18" x14ac:dyDescent="0.25">
      <c r="A323" t="s">
        <v>473</v>
      </c>
      <c r="B323" t="s">
        <v>67</v>
      </c>
      <c r="C323" t="s">
        <v>48</v>
      </c>
      <c r="D323" s="1" t="s">
        <v>993</v>
      </c>
      <c r="E323" t="s">
        <v>1513</v>
      </c>
      <c r="F323" t="s">
        <v>34</v>
      </c>
      <c r="G323" t="s">
        <v>12</v>
      </c>
      <c r="H323" t="s">
        <v>2033</v>
      </c>
      <c r="I323" t="s">
        <v>107</v>
      </c>
      <c r="J323" t="s">
        <v>2553</v>
      </c>
      <c r="K323" t="s">
        <v>5</v>
      </c>
      <c r="L323" s="22">
        <v>9</v>
      </c>
      <c r="M323" s="30">
        <v>0.51249999999999996</v>
      </c>
      <c r="N323" s="11" t="s">
        <v>6</v>
      </c>
      <c r="O323" s="1">
        <v>80</v>
      </c>
      <c r="P323" s="1">
        <v>41</v>
      </c>
      <c r="Q323" t="s">
        <v>44</v>
      </c>
      <c r="R323" t="s">
        <v>40</v>
      </c>
    </row>
    <row r="324" spans="1:18" x14ac:dyDescent="0.25">
      <c r="A324" t="s">
        <v>474</v>
      </c>
      <c r="B324" t="s">
        <v>83</v>
      </c>
      <c r="C324" t="s">
        <v>57</v>
      </c>
      <c r="D324" s="1" t="s">
        <v>994</v>
      </c>
      <c r="E324" t="s">
        <v>1514</v>
      </c>
      <c r="F324" t="s">
        <v>34</v>
      </c>
      <c r="G324" t="s">
        <v>12</v>
      </c>
      <c r="H324" t="s">
        <v>2034</v>
      </c>
      <c r="I324" t="s">
        <v>68</v>
      </c>
      <c r="J324" t="s">
        <v>2554</v>
      </c>
      <c r="K324" t="s">
        <v>5</v>
      </c>
      <c r="L324" s="22">
        <v>9</v>
      </c>
      <c r="M324" s="31">
        <v>0.87735849056603776</v>
      </c>
      <c r="N324" s="11" t="s">
        <v>6</v>
      </c>
      <c r="O324" s="22">
        <v>106</v>
      </c>
      <c r="P324" s="1">
        <v>93</v>
      </c>
      <c r="R324" t="s">
        <v>40</v>
      </c>
    </row>
    <row r="325" spans="1:18" x14ac:dyDescent="0.25">
      <c r="A325" t="s">
        <v>475</v>
      </c>
      <c r="B325" t="s">
        <v>109</v>
      </c>
      <c r="C325" t="s">
        <v>85</v>
      </c>
      <c r="D325" s="1" t="s">
        <v>995</v>
      </c>
      <c r="E325" t="s">
        <v>1515</v>
      </c>
      <c r="F325" t="s">
        <v>34</v>
      </c>
      <c r="G325" t="s">
        <v>10</v>
      </c>
      <c r="H325" t="s">
        <v>2035</v>
      </c>
      <c r="I325" t="s">
        <v>106</v>
      </c>
      <c r="J325" t="s">
        <v>2555</v>
      </c>
      <c r="K325" t="s">
        <v>5</v>
      </c>
      <c r="L325" s="22">
        <v>12</v>
      </c>
      <c r="M325" s="30">
        <v>1</v>
      </c>
      <c r="N325" s="11" t="s">
        <v>5</v>
      </c>
      <c r="O325" s="1">
        <v>81</v>
      </c>
      <c r="P325" s="1">
        <v>81</v>
      </c>
    </row>
    <row r="326" spans="1:18" x14ac:dyDescent="0.25">
      <c r="A326" t="s">
        <v>476</v>
      </c>
      <c r="B326" t="s">
        <v>73</v>
      </c>
      <c r="C326" t="s">
        <v>74</v>
      </c>
      <c r="D326" s="1" t="s">
        <v>996</v>
      </c>
      <c r="E326" t="s">
        <v>1516</v>
      </c>
      <c r="F326" t="s">
        <v>41</v>
      </c>
      <c r="G326" t="s">
        <v>11</v>
      </c>
      <c r="H326" t="s">
        <v>2036</v>
      </c>
      <c r="I326" t="s">
        <v>46</v>
      </c>
      <c r="J326" t="s">
        <v>2556</v>
      </c>
      <c r="K326" t="s">
        <v>5</v>
      </c>
      <c r="L326" s="22">
        <v>7</v>
      </c>
      <c r="M326" s="30">
        <v>0.65517241379310343</v>
      </c>
      <c r="N326" s="11" t="s">
        <v>6</v>
      </c>
      <c r="O326" s="1">
        <v>58</v>
      </c>
      <c r="P326" s="1">
        <v>38</v>
      </c>
    </row>
    <row r="327" spans="1:18" x14ac:dyDescent="0.25">
      <c r="A327" t="s">
        <v>477</v>
      </c>
      <c r="B327" t="s">
        <v>32</v>
      </c>
      <c r="C327" t="s">
        <v>33</v>
      </c>
      <c r="D327" s="1" t="s">
        <v>997</v>
      </c>
      <c r="E327" t="s">
        <v>1517</v>
      </c>
      <c r="F327" t="s">
        <v>41</v>
      </c>
      <c r="G327" t="s">
        <v>12</v>
      </c>
      <c r="H327" t="s">
        <v>2037</v>
      </c>
      <c r="I327" t="s">
        <v>42</v>
      </c>
      <c r="J327" t="s">
        <v>2557</v>
      </c>
      <c r="K327" t="s">
        <v>5</v>
      </c>
      <c r="L327" s="22">
        <v>7</v>
      </c>
      <c r="M327" s="30">
        <v>0.69696969696969702</v>
      </c>
      <c r="N327" s="11" t="s">
        <v>6</v>
      </c>
      <c r="O327" s="1">
        <v>66</v>
      </c>
      <c r="P327" s="1">
        <v>46</v>
      </c>
      <c r="R327" t="s">
        <v>40</v>
      </c>
    </row>
    <row r="328" spans="1:18" x14ac:dyDescent="0.25">
      <c r="A328" t="s">
        <v>478</v>
      </c>
      <c r="B328" t="s">
        <v>88</v>
      </c>
      <c r="C328" t="s">
        <v>48</v>
      </c>
      <c r="D328" s="1" t="s">
        <v>998</v>
      </c>
      <c r="E328" t="s">
        <v>1518</v>
      </c>
      <c r="F328" t="s">
        <v>89</v>
      </c>
      <c r="G328" t="s">
        <v>12</v>
      </c>
      <c r="H328" t="s">
        <v>2038</v>
      </c>
      <c r="I328" t="s">
        <v>54</v>
      </c>
      <c r="J328" t="s">
        <v>2558</v>
      </c>
      <c r="K328" t="s">
        <v>5</v>
      </c>
      <c r="L328" s="22">
        <v>9</v>
      </c>
      <c r="M328" s="30">
        <v>1</v>
      </c>
      <c r="N328" s="11" t="s">
        <v>5</v>
      </c>
      <c r="O328" s="1">
        <v>106</v>
      </c>
      <c r="P328" s="1">
        <v>106</v>
      </c>
      <c r="R328" t="s">
        <v>40</v>
      </c>
    </row>
    <row r="329" spans="1:18" x14ac:dyDescent="0.25">
      <c r="A329" t="s">
        <v>479</v>
      </c>
      <c r="B329" t="s">
        <v>62</v>
      </c>
      <c r="C329" t="s">
        <v>63</v>
      </c>
      <c r="D329" s="1" t="s">
        <v>999</v>
      </c>
      <c r="E329" t="s">
        <v>1519</v>
      </c>
      <c r="F329" t="s">
        <v>89</v>
      </c>
      <c r="G329" t="s">
        <v>12</v>
      </c>
      <c r="H329" t="s">
        <v>2039</v>
      </c>
      <c r="I329" t="s">
        <v>35</v>
      </c>
      <c r="J329" t="s">
        <v>2559</v>
      </c>
      <c r="K329" t="s">
        <v>5</v>
      </c>
      <c r="L329" s="22">
        <v>7</v>
      </c>
      <c r="M329" s="30">
        <v>1</v>
      </c>
      <c r="N329" s="11" t="s">
        <v>5</v>
      </c>
      <c r="O329" s="1">
        <v>118</v>
      </c>
      <c r="P329" s="1">
        <v>118</v>
      </c>
    </row>
    <row r="330" spans="1:18" x14ac:dyDescent="0.25">
      <c r="A330" t="s">
        <v>480</v>
      </c>
      <c r="B330" t="s">
        <v>60</v>
      </c>
      <c r="C330" t="s">
        <v>37</v>
      </c>
      <c r="D330" s="1" t="s">
        <v>1000</v>
      </c>
      <c r="E330" t="s">
        <v>1520</v>
      </c>
      <c r="F330" t="s">
        <v>75</v>
      </c>
      <c r="G330" t="s">
        <v>8</v>
      </c>
      <c r="H330" t="s">
        <v>2040</v>
      </c>
      <c r="I330" t="s">
        <v>61</v>
      </c>
      <c r="J330" t="s">
        <v>2560</v>
      </c>
      <c r="K330" t="s">
        <v>5</v>
      </c>
      <c r="L330" s="22">
        <v>7</v>
      </c>
      <c r="M330" s="30">
        <v>1</v>
      </c>
      <c r="N330" s="11" t="s">
        <v>5</v>
      </c>
      <c r="O330" s="1">
        <v>52</v>
      </c>
      <c r="P330" s="1">
        <v>52</v>
      </c>
      <c r="R330" t="s">
        <v>40</v>
      </c>
    </row>
    <row r="331" spans="1:18" x14ac:dyDescent="0.25">
      <c r="A331" t="s">
        <v>481</v>
      </c>
      <c r="B331" t="s">
        <v>73</v>
      </c>
      <c r="C331" t="s">
        <v>74</v>
      </c>
      <c r="D331" s="1" t="s">
        <v>1001</v>
      </c>
      <c r="E331" t="s">
        <v>1521</v>
      </c>
      <c r="F331" t="s">
        <v>34</v>
      </c>
      <c r="G331" t="s">
        <v>9</v>
      </c>
      <c r="H331" t="s">
        <v>2041</v>
      </c>
      <c r="I331" t="s">
        <v>131</v>
      </c>
      <c r="J331" t="s">
        <v>2561</v>
      </c>
      <c r="K331" t="s">
        <v>5</v>
      </c>
      <c r="L331" s="22">
        <v>9</v>
      </c>
      <c r="M331" s="31">
        <v>0.80769230769230771</v>
      </c>
      <c r="N331" s="11" t="s">
        <v>6</v>
      </c>
      <c r="O331" s="1">
        <v>78</v>
      </c>
      <c r="P331" s="1">
        <v>63</v>
      </c>
      <c r="Q331" t="s">
        <v>44</v>
      </c>
      <c r="R331" t="s">
        <v>40</v>
      </c>
    </row>
    <row r="332" spans="1:18" x14ac:dyDescent="0.25">
      <c r="A332" t="s">
        <v>482</v>
      </c>
      <c r="B332" t="s">
        <v>78</v>
      </c>
      <c r="C332" t="s">
        <v>79</v>
      </c>
      <c r="D332" s="1" t="s">
        <v>1002</v>
      </c>
      <c r="E332" t="s">
        <v>1522</v>
      </c>
      <c r="F332" t="s">
        <v>43</v>
      </c>
      <c r="G332" t="s">
        <v>11</v>
      </c>
      <c r="H332" t="s">
        <v>2042</v>
      </c>
      <c r="I332" t="s">
        <v>81</v>
      </c>
      <c r="J332" t="s">
        <v>2562</v>
      </c>
      <c r="K332" t="s">
        <v>5</v>
      </c>
      <c r="L332" s="22">
        <v>5</v>
      </c>
      <c r="M332" s="30">
        <v>0.56451612903225812</v>
      </c>
      <c r="N332" s="11" t="s">
        <v>6</v>
      </c>
      <c r="O332" s="1">
        <v>62</v>
      </c>
      <c r="P332" s="1">
        <v>35</v>
      </c>
    </row>
    <row r="333" spans="1:18" x14ac:dyDescent="0.25">
      <c r="A333" t="s">
        <v>483</v>
      </c>
      <c r="B333" t="s">
        <v>102</v>
      </c>
      <c r="C333" t="s">
        <v>85</v>
      </c>
      <c r="D333" s="1" t="s">
        <v>1003</v>
      </c>
      <c r="E333" t="s">
        <v>1523</v>
      </c>
      <c r="F333" t="s">
        <v>49</v>
      </c>
      <c r="G333" t="s">
        <v>12</v>
      </c>
      <c r="H333" t="s">
        <v>2043</v>
      </c>
      <c r="I333" t="s">
        <v>50</v>
      </c>
      <c r="J333" t="s">
        <v>2563</v>
      </c>
      <c r="K333" t="s">
        <v>5</v>
      </c>
      <c r="L333" s="22">
        <v>6</v>
      </c>
      <c r="M333" s="30">
        <v>1</v>
      </c>
      <c r="N333" s="11" t="s">
        <v>5</v>
      </c>
      <c r="O333" s="1">
        <v>81</v>
      </c>
      <c r="P333" s="1">
        <v>81</v>
      </c>
    </row>
    <row r="334" spans="1:18" x14ac:dyDescent="0.25">
      <c r="A334" t="s">
        <v>484</v>
      </c>
      <c r="B334" t="s">
        <v>67</v>
      </c>
      <c r="C334" t="s">
        <v>48</v>
      </c>
      <c r="D334" s="1" t="s">
        <v>1004</v>
      </c>
      <c r="E334" t="s">
        <v>1524</v>
      </c>
      <c r="F334" t="s">
        <v>34</v>
      </c>
      <c r="G334" t="s">
        <v>12</v>
      </c>
      <c r="H334" t="s">
        <v>2044</v>
      </c>
      <c r="I334" t="s">
        <v>64</v>
      </c>
      <c r="J334" t="s">
        <v>2564</v>
      </c>
      <c r="K334" t="s">
        <v>5</v>
      </c>
      <c r="L334" s="22">
        <v>9</v>
      </c>
      <c r="M334" s="30">
        <v>1</v>
      </c>
      <c r="N334" s="11" t="s">
        <v>5</v>
      </c>
      <c r="O334" s="1">
        <v>106</v>
      </c>
      <c r="P334" s="1">
        <v>106</v>
      </c>
    </row>
    <row r="335" spans="1:18" x14ac:dyDescent="0.25">
      <c r="A335" t="s">
        <v>485</v>
      </c>
      <c r="B335" t="s">
        <v>32</v>
      </c>
      <c r="C335" t="s">
        <v>33</v>
      </c>
      <c r="D335" s="1" t="s">
        <v>1005</v>
      </c>
      <c r="E335" t="s">
        <v>1525</v>
      </c>
      <c r="F335" t="s">
        <v>43</v>
      </c>
      <c r="G335" t="s">
        <v>12</v>
      </c>
      <c r="H335" t="s">
        <v>2045</v>
      </c>
      <c r="I335" t="s">
        <v>55</v>
      </c>
      <c r="J335" t="s">
        <v>2565</v>
      </c>
      <c r="K335" t="s">
        <v>5</v>
      </c>
      <c r="L335" s="22">
        <v>7</v>
      </c>
      <c r="M335" s="30">
        <v>1</v>
      </c>
      <c r="N335" s="11" t="s">
        <v>5</v>
      </c>
      <c r="O335" s="1">
        <v>82</v>
      </c>
      <c r="P335" s="1">
        <v>82</v>
      </c>
      <c r="R335" t="s">
        <v>40</v>
      </c>
    </row>
    <row r="336" spans="1:18" x14ac:dyDescent="0.25">
      <c r="A336" t="s">
        <v>486</v>
      </c>
      <c r="B336" t="s">
        <v>53</v>
      </c>
      <c r="C336" t="s">
        <v>48</v>
      </c>
      <c r="D336" s="1" t="s">
        <v>1006</v>
      </c>
      <c r="E336" t="s">
        <v>1526</v>
      </c>
      <c r="F336" t="s">
        <v>140</v>
      </c>
      <c r="G336" t="s">
        <v>12</v>
      </c>
      <c r="H336" t="s">
        <v>2046</v>
      </c>
      <c r="I336" t="s">
        <v>35</v>
      </c>
      <c r="J336" t="s">
        <v>2566</v>
      </c>
      <c r="K336" t="s">
        <v>5</v>
      </c>
      <c r="L336" s="22">
        <v>9</v>
      </c>
      <c r="M336" s="30">
        <v>0.660377358490566</v>
      </c>
      <c r="N336" s="11" t="s">
        <v>6</v>
      </c>
      <c r="O336" s="1">
        <v>106</v>
      </c>
      <c r="P336" s="1">
        <v>70</v>
      </c>
    </row>
    <row r="337" spans="1:18" x14ac:dyDescent="0.25">
      <c r="A337" t="s">
        <v>487</v>
      </c>
      <c r="B337" t="s">
        <v>32</v>
      </c>
      <c r="C337" t="s">
        <v>33</v>
      </c>
      <c r="D337" s="1" t="s">
        <v>1007</v>
      </c>
      <c r="E337" t="s">
        <v>1527</v>
      </c>
      <c r="F337" t="s">
        <v>75</v>
      </c>
      <c r="G337" t="s">
        <v>12</v>
      </c>
      <c r="H337" t="s">
        <v>2047</v>
      </c>
      <c r="I337" t="s">
        <v>50</v>
      </c>
      <c r="J337" t="s">
        <v>2567</v>
      </c>
      <c r="K337" t="s">
        <v>5</v>
      </c>
      <c r="L337" s="22">
        <v>5</v>
      </c>
      <c r="M337" s="30">
        <v>1</v>
      </c>
      <c r="N337" s="11" t="s">
        <v>5</v>
      </c>
      <c r="O337" s="22">
        <v>76</v>
      </c>
      <c r="P337" s="1">
        <v>76</v>
      </c>
      <c r="R337" t="s">
        <v>40</v>
      </c>
    </row>
    <row r="338" spans="1:18" x14ac:dyDescent="0.25">
      <c r="A338" t="s">
        <v>488</v>
      </c>
      <c r="B338" t="s">
        <v>32</v>
      </c>
      <c r="C338" t="s">
        <v>33</v>
      </c>
      <c r="D338" s="1" t="s">
        <v>1008</v>
      </c>
      <c r="E338" t="s">
        <v>1528</v>
      </c>
      <c r="F338" t="s">
        <v>75</v>
      </c>
      <c r="G338" t="s">
        <v>12</v>
      </c>
      <c r="H338" t="s">
        <v>2048</v>
      </c>
      <c r="I338" t="s">
        <v>35</v>
      </c>
      <c r="J338" t="s">
        <v>2568</v>
      </c>
      <c r="K338" t="s">
        <v>5</v>
      </c>
      <c r="L338" s="22">
        <v>7</v>
      </c>
      <c r="M338" s="30">
        <v>1</v>
      </c>
      <c r="N338" s="11" t="s">
        <v>5</v>
      </c>
      <c r="O338" s="1">
        <v>98</v>
      </c>
      <c r="P338" s="1">
        <v>98</v>
      </c>
    </row>
    <row r="339" spans="1:18" x14ac:dyDescent="0.25">
      <c r="A339" t="s">
        <v>489</v>
      </c>
      <c r="B339" t="s">
        <v>102</v>
      </c>
      <c r="C339" t="s">
        <v>85</v>
      </c>
      <c r="D339" s="1" t="s">
        <v>1009</v>
      </c>
      <c r="E339" t="s">
        <v>1529</v>
      </c>
      <c r="F339" t="s">
        <v>70</v>
      </c>
      <c r="G339" t="s">
        <v>12</v>
      </c>
      <c r="H339" t="s">
        <v>2049</v>
      </c>
      <c r="I339" t="s">
        <v>52</v>
      </c>
      <c r="J339" t="s">
        <v>2569</v>
      </c>
      <c r="K339" t="s">
        <v>5</v>
      </c>
      <c r="L339" s="22">
        <v>7</v>
      </c>
      <c r="M339" s="30">
        <v>1</v>
      </c>
      <c r="N339" s="11" t="s">
        <v>5</v>
      </c>
      <c r="O339" s="1">
        <v>84</v>
      </c>
      <c r="P339" s="1">
        <v>84</v>
      </c>
      <c r="R339" t="s">
        <v>40</v>
      </c>
    </row>
    <row r="340" spans="1:18" x14ac:dyDescent="0.25">
      <c r="A340" t="s">
        <v>490</v>
      </c>
      <c r="B340" t="s">
        <v>51</v>
      </c>
      <c r="C340" t="s">
        <v>37</v>
      </c>
      <c r="D340" s="1" t="s">
        <v>1010</v>
      </c>
      <c r="E340" t="s">
        <v>1530</v>
      </c>
      <c r="F340" t="s">
        <v>140</v>
      </c>
      <c r="G340" t="s">
        <v>12</v>
      </c>
      <c r="H340" t="s">
        <v>2050</v>
      </c>
      <c r="I340" t="s">
        <v>35</v>
      </c>
      <c r="J340" t="s">
        <v>2570</v>
      </c>
      <c r="K340" t="s">
        <v>5</v>
      </c>
      <c r="L340" s="22">
        <v>7</v>
      </c>
      <c r="M340" s="30">
        <v>1</v>
      </c>
      <c r="N340" s="11" t="s">
        <v>5</v>
      </c>
      <c r="O340" s="1">
        <v>80</v>
      </c>
      <c r="P340" s="1">
        <v>80</v>
      </c>
    </row>
    <row r="341" spans="1:18" x14ac:dyDescent="0.25">
      <c r="A341" t="s">
        <v>491</v>
      </c>
      <c r="B341" t="s">
        <v>102</v>
      </c>
      <c r="C341" t="s">
        <v>85</v>
      </c>
      <c r="D341" s="1" t="s">
        <v>1011</v>
      </c>
      <c r="E341" t="s">
        <v>1531</v>
      </c>
      <c r="F341" t="s">
        <v>34</v>
      </c>
      <c r="G341" t="s">
        <v>12</v>
      </c>
      <c r="H341" t="s">
        <v>2051</v>
      </c>
      <c r="I341" t="s">
        <v>52</v>
      </c>
      <c r="J341" t="s">
        <v>2571</v>
      </c>
      <c r="K341" t="s">
        <v>5</v>
      </c>
      <c r="L341" s="22">
        <v>7</v>
      </c>
      <c r="M341" s="30">
        <v>9.7560975609756101E-2</v>
      </c>
      <c r="N341" s="11" t="s">
        <v>6</v>
      </c>
      <c r="O341" s="1">
        <v>82</v>
      </c>
      <c r="P341" s="1">
        <v>8</v>
      </c>
    </row>
    <row r="342" spans="1:18" x14ac:dyDescent="0.25">
      <c r="A342" t="s">
        <v>492</v>
      </c>
      <c r="B342" t="s">
        <v>83</v>
      </c>
      <c r="C342" t="s">
        <v>57</v>
      </c>
      <c r="D342" s="1" t="s">
        <v>1012</v>
      </c>
      <c r="E342" t="s">
        <v>1532</v>
      </c>
      <c r="F342" t="s">
        <v>49</v>
      </c>
      <c r="G342" t="s">
        <v>11</v>
      </c>
      <c r="H342" t="s">
        <v>2052</v>
      </c>
      <c r="I342" t="s">
        <v>46</v>
      </c>
      <c r="J342" t="s">
        <v>2572</v>
      </c>
      <c r="K342" t="s">
        <v>5</v>
      </c>
      <c r="L342" s="22">
        <v>5</v>
      </c>
      <c r="M342" s="30">
        <v>1</v>
      </c>
      <c r="N342" s="11" t="s">
        <v>5</v>
      </c>
      <c r="O342" s="22">
        <v>62</v>
      </c>
      <c r="P342" s="1">
        <v>62</v>
      </c>
      <c r="R342" t="s">
        <v>40</v>
      </c>
    </row>
    <row r="343" spans="1:18" x14ac:dyDescent="0.25">
      <c r="A343" t="s">
        <v>493</v>
      </c>
      <c r="B343" t="s">
        <v>51</v>
      </c>
      <c r="C343" t="s">
        <v>37</v>
      </c>
      <c r="D343" s="1" t="s">
        <v>1013</v>
      </c>
      <c r="E343" t="s">
        <v>1533</v>
      </c>
      <c r="F343" t="s">
        <v>75</v>
      </c>
      <c r="G343" t="s">
        <v>12</v>
      </c>
      <c r="H343" t="s">
        <v>2053</v>
      </c>
      <c r="I343" t="s">
        <v>50</v>
      </c>
      <c r="J343" t="s">
        <v>2573</v>
      </c>
      <c r="K343" t="s">
        <v>5</v>
      </c>
      <c r="L343" s="22">
        <v>9</v>
      </c>
      <c r="M343" s="30">
        <v>1</v>
      </c>
      <c r="N343" s="11" t="s">
        <v>5</v>
      </c>
      <c r="O343" s="1">
        <v>100</v>
      </c>
      <c r="P343" s="1">
        <v>100</v>
      </c>
    </row>
    <row r="344" spans="1:18" x14ac:dyDescent="0.25">
      <c r="A344" t="s">
        <v>494</v>
      </c>
      <c r="B344" t="s">
        <v>88</v>
      </c>
      <c r="C344" t="s">
        <v>48</v>
      </c>
      <c r="D344" s="1" t="s">
        <v>1014</v>
      </c>
      <c r="E344" t="s">
        <v>1534</v>
      </c>
      <c r="F344" t="s">
        <v>89</v>
      </c>
      <c r="G344" t="s">
        <v>12</v>
      </c>
      <c r="H344" t="s">
        <v>2054</v>
      </c>
      <c r="I344" t="s">
        <v>35</v>
      </c>
      <c r="J344" t="s">
        <v>2574</v>
      </c>
      <c r="K344" t="s">
        <v>5</v>
      </c>
      <c r="L344" s="22">
        <v>9</v>
      </c>
      <c r="M344" s="31">
        <v>1</v>
      </c>
      <c r="N344" s="11" t="s">
        <v>5</v>
      </c>
      <c r="O344" s="1">
        <v>72</v>
      </c>
      <c r="P344" s="1">
        <v>72</v>
      </c>
      <c r="Q344" t="s">
        <v>44</v>
      </c>
      <c r="R344" t="s">
        <v>40</v>
      </c>
    </row>
    <row r="345" spans="1:18" x14ac:dyDescent="0.25">
      <c r="A345" t="s">
        <v>495</v>
      </c>
      <c r="B345" t="s">
        <v>141</v>
      </c>
      <c r="C345" t="s">
        <v>85</v>
      </c>
      <c r="D345" s="1" t="s">
        <v>1015</v>
      </c>
      <c r="E345" t="s">
        <v>1535</v>
      </c>
      <c r="F345" t="s">
        <v>75</v>
      </c>
      <c r="G345" t="s">
        <v>11</v>
      </c>
      <c r="H345" t="s">
        <v>2055</v>
      </c>
      <c r="I345" t="s">
        <v>76</v>
      </c>
      <c r="J345" t="s">
        <v>2575</v>
      </c>
      <c r="K345" t="s">
        <v>5</v>
      </c>
      <c r="L345" s="22">
        <v>7</v>
      </c>
      <c r="M345" s="30">
        <v>1</v>
      </c>
      <c r="N345" s="11" t="s">
        <v>5</v>
      </c>
      <c r="O345" s="1">
        <v>78</v>
      </c>
      <c r="P345" s="1">
        <v>78</v>
      </c>
    </row>
    <row r="346" spans="1:18" x14ac:dyDescent="0.25">
      <c r="A346" t="s">
        <v>496</v>
      </c>
      <c r="B346" t="s">
        <v>128</v>
      </c>
      <c r="C346" t="s">
        <v>128</v>
      </c>
      <c r="D346" s="1" t="s">
        <v>1016</v>
      </c>
      <c r="E346" t="s">
        <v>1536</v>
      </c>
      <c r="F346" t="s">
        <v>34</v>
      </c>
      <c r="G346" t="s">
        <v>11</v>
      </c>
      <c r="H346" t="s">
        <v>2056</v>
      </c>
      <c r="I346" t="s">
        <v>100</v>
      </c>
      <c r="J346" t="s">
        <v>2576</v>
      </c>
      <c r="K346" t="s">
        <v>5</v>
      </c>
      <c r="L346" s="22">
        <v>9</v>
      </c>
      <c r="M346" s="30">
        <v>0.375</v>
      </c>
      <c r="N346" s="11" t="s">
        <v>6</v>
      </c>
      <c r="O346" s="1">
        <v>80</v>
      </c>
      <c r="P346" s="1">
        <v>30</v>
      </c>
      <c r="R346" t="s">
        <v>40</v>
      </c>
    </row>
    <row r="347" spans="1:18" x14ac:dyDescent="0.25">
      <c r="A347" t="s">
        <v>497</v>
      </c>
      <c r="B347" t="s">
        <v>62</v>
      </c>
      <c r="C347" t="s">
        <v>63</v>
      </c>
      <c r="D347" s="1" t="s">
        <v>1017</v>
      </c>
      <c r="E347" t="s">
        <v>1537</v>
      </c>
      <c r="F347" t="s">
        <v>43</v>
      </c>
      <c r="G347" t="s">
        <v>12</v>
      </c>
      <c r="H347" t="s">
        <v>2057</v>
      </c>
      <c r="I347" t="s">
        <v>126</v>
      </c>
      <c r="J347" t="s">
        <v>2577</v>
      </c>
      <c r="K347" t="s">
        <v>5</v>
      </c>
      <c r="L347" s="22">
        <v>7</v>
      </c>
      <c r="M347" s="31">
        <v>1</v>
      </c>
      <c r="N347" s="11" t="s">
        <v>5</v>
      </c>
      <c r="O347" s="22">
        <v>84</v>
      </c>
      <c r="P347" s="1">
        <v>84</v>
      </c>
      <c r="R347" t="s">
        <v>40</v>
      </c>
    </row>
    <row r="348" spans="1:18" x14ac:dyDescent="0.25">
      <c r="A348" t="s">
        <v>498</v>
      </c>
      <c r="B348" t="s">
        <v>77</v>
      </c>
      <c r="C348" t="s">
        <v>57</v>
      </c>
      <c r="D348" s="1" t="s">
        <v>1018</v>
      </c>
      <c r="E348" t="s">
        <v>1538</v>
      </c>
      <c r="F348" t="s">
        <v>75</v>
      </c>
      <c r="G348" t="s">
        <v>8</v>
      </c>
      <c r="H348" t="s">
        <v>2058</v>
      </c>
      <c r="I348" t="s">
        <v>92</v>
      </c>
      <c r="J348" t="s">
        <v>2578</v>
      </c>
      <c r="K348" t="s">
        <v>5</v>
      </c>
      <c r="L348" s="22">
        <v>7</v>
      </c>
      <c r="M348" s="31">
        <v>1</v>
      </c>
      <c r="N348" s="11" t="s">
        <v>5</v>
      </c>
      <c r="O348" s="22">
        <v>78</v>
      </c>
      <c r="P348" s="1">
        <v>78</v>
      </c>
      <c r="R348" t="s">
        <v>40</v>
      </c>
    </row>
    <row r="349" spans="1:18" x14ac:dyDescent="0.25">
      <c r="A349" t="s">
        <v>499</v>
      </c>
      <c r="B349" t="s">
        <v>99</v>
      </c>
      <c r="C349" t="s">
        <v>63</v>
      </c>
      <c r="D349" s="1" t="s">
        <v>1019</v>
      </c>
      <c r="E349" t="s">
        <v>1539</v>
      </c>
      <c r="F349" t="s">
        <v>34</v>
      </c>
      <c r="G349" t="s">
        <v>12</v>
      </c>
      <c r="H349" t="s">
        <v>2059</v>
      </c>
      <c r="I349" t="s">
        <v>68</v>
      </c>
      <c r="J349" t="s">
        <v>2579</v>
      </c>
      <c r="K349" t="s">
        <v>5</v>
      </c>
      <c r="L349" s="22">
        <v>7</v>
      </c>
      <c r="M349" s="30">
        <v>0.62195121951219512</v>
      </c>
      <c r="N349" s="11" t="s">
        <v>6</v>
      </c>
      <c r="O349" s="1">
        <v>82</v>
      </c>
      <c r="P349" s="1">
        <v>51</v>
      </c>
      <c r="R349" t="s">
        <v>40</v>
      </c>
    </row>
    <row r="350" spans="1:18" x14ac:dyDescent="0.25">
      <c r="A350" t="s">
        <v>500</v>
      </c>
      <c r="B350" t="s">
        <v>98</v>
      </c>
      <c r="C350" t="s">
        <v>74</v>
      </c>
      <c r="D350" s="1" t="s">
        <v>1020</v>
      </c>
      <c r="E350" t="s">
        <v>1540</v>
      </c>
      <c r="F350" t="s">
        <v>34</v>
      </c>
      <c r="G350" t="s">
        <v>8</v>
      </c>
      <c r="H350" t="s">
        <v>2060</v>
      </c>
      <c r="I350" t="s">
        <v>61</v>
      </c>
      <c r="J350" t="s">
        <v>2580</v>
      </c>
      <c r="K350" t="s">
        <v>5</v>
      </c>
      <c r="L350" s="22">
        <v>9</v>
      </c>
      <c r="M350" s="31">
        <v>0.75</v>
      </c>
      <c r="N350" s="11" t="s">
        <v>6</v>
      </c>
      <c r="O350" s="22">
        <v>80</v>
      </c>
      <c r="P350" s="1">
        <v>60</v>
      </c>
      <c r="R350" t="s">
        <v>40</v>
      </c>
    </row>
    <row r="351" spans="1:18" x14ac:dyDescent="0.25">
      <c r="A351" t="s">
        <v>501</v>
      </c>
      <c r="B351" t="s">
        <v>77</v>
      </c>
      <c r="C351" t="s">
        <v>57</v>
      </c>
      <c r="D351" s="1" t="s">
        <v>1021</v>
      </c>
      <c r="E351" t="s">
        <v>1541</v>
      </c>
      <c r="F351" t="s">
        <v>34</v>
      </c>
      <c r="G351" t="s">
        <v>8</v>
      </c>
      <c r="H351" t="s">
        <v>2061</v>
      </c>
      <c r="I351" t="s">
        <v>61</v>
      </c>
      <c r="J351" t="s">
        <v>2581</v>
      </c>
      <c r="K351" t="s">
        <v>5</v>
      </c>
      <c r="L351" s="22">
        <v>7</v>
      </c>
      <c r="M351" s="30">
        <v>0.51063829787234039</v>
      </c>
      <c r="N351" s="11" t="s">
        <v>6</v>
      </c>
      <c r="O351" s="1">
        <v>94</v>
      </c>
      <c r="P351" s="1">
        <v>48</v>
      </c>
    </row>
    <row r="352" spans="1:18" x14ac:dyDescent="0.25">
      <c r="A352" t="s">
        <v>502</v>
      </c>
      <c r="B352" t="s">
        <v>32</v>
      </c>
      <c r="C352" t="s">
        <v>33</v>
      </c>
      <c r="D352" s="1" t="s">
        <v>1022</v>
      </c>
      <c r="E352" t="s">
        <v>1542</v>
      </c>
      <c r="F352" t="s">
        <v>34</v>
      </c>
      <c r="G352" t="s">
        <v>12</v>
      </c>
      <c r="H352" t="s">
        <v>2062</v>
      </c>
      <c r="I352" t="s">
        <v>54</v>
      </c>
      <c r="J352" t="s">
        <v>2582</v>
      </c>
      <c r="K352" t="s">
        <v>5</v>
      </c>
      <c r="L352" s="22">
        <v>7</v>
      </c>
      <c r="M352" s="30">
        <v>1</v>
      </c>
      <c r="N352" s="11" t="s">
        <v>5</v>
      </c>
      <c r="O352" s="1">
        <v>66</v>
      </c>
      <c r="P352" s="1">
        <v>66</v>
      </c>
      <c r="R352" t="s">
        <v>40</v>
      </c>
    </row>
    <row r="353" spans="1:18" x14ac:dyDescent="0.25">
      <c r="A353" t="s">
        <v>503</v>
      </c>
      <c r="B353" t="s">
        <v>67</v>
      </c>
      <c r="C353" t="s">
        <v>48</v>
      </c>
      <c r="D353" s="1" t="s">
        <v>1023</v>
      </c>
      <c r="E353" t="s">
        <v>1543</v>
      </c>
      <c r="F353" t="s">
        <v>70</v>
      </c>
      <c r="G353" t="s">
        <v>12</v>
      </c>
      <c r="H353" t="s">
        <v>2063</v>
      </c>
      <c r="I353" t="s">
        <v>52</v>
      </c>
      <c r="J353" t="s">
        <v>2583</v>
      </c>
      <c r="K353" t="s">
        <v>5</v>
      </c>
      <c r="L353" s="22">
        <v>28</v>
      </c>
      <c r="M353" s="31">
        <v>1</v>
      </c>
      <c r="N353" s="11" t="s">
        <v>5</v>
      </c>
      <c r="O353" s="22">
        <v>78</v>
      </c>
      <c r="P353" s="1">
        <v>78</v>
      </c>
      <c r="R353" t="s">
        <v>40</v>
      </c>
    </row>
    <row r="354" spans="1:18" x14ac:dyDescent="0.25">
      <c r="A354" t="s">
        <v>504</v>
      </c>
      <c r="B354" t="s">
        <v>47</v>
      </c>
      <c r="C354" t="s">
        <v>48</v>
      </c>
      <c r="D354" s="1" t="s">
        <v>1024</v>
      </c>
      <c r="E354" t="s">
        <v>1544</v>
      </c>
      <c r="F354" t="s">
        <v>43</v>
      </c>
      <c r="G354" t="s">
        <v>12</v>
      </c>
      <c r="H354" t="s">
        <v>2064</v>
      </c>
      <c r="I354" t="s">
        <v>55</v>
      </c>
      <c r="J354" t="s">
        <v>2584</v>
      </c>
      <c r="K354" t="s">
        <v>5</v>
      </c>
      <c r="L354" s="22">
        <v>7</v>
      </c>
      <c r="M354" s="31">
        <v>1</v>
      </c>
      <c r="N354" s="11" t="s">
        <v>5</v>
      </c>
      <c r="O354" s="22">
        <v>62</v>
      </c>
      <c r="P354" s="1">
        <v>62</v>
      </c>
      <c r="R354" t="s">
        <v>40</v>
      </c>
    </row>
    <row r="355" spans="1:18" x14ac:dyDescent="0.25">
      <c r="A355" t="s">
        <v>505</v>
      </c>
      <c r="B355" t="s">
        <v>115</v>
      </c>
      <c r="C355" t="s">
        <v>63</v>
      </c>
      <c r="D355" s="1" t="s">
        <v>1025</v>
      </c>
      <c r="E355" t="s">
        <v>1545</v>
      </c>
      <c r="F355" t="s">
        <v>34</v>
      </c>
      <c r="G355" t="s">
        <v>8</v>
      </c>
      <c r="H355" t="s">
        <v>2065</v>
      </c>
      <c r="I355" t="s">
        <v>61</v>
      </c>
      <c r="J355" t="s">
        <v>2585</v>
      </c>
      <c r="K355" t="s">
        <v>5</v>
      </c>
      <c r="L355" s="22">
        <v>6</v>
      </c>
      <c r="M355" s="31">
        <v>0.13846153846153847</v>
      </c>
      <c r="N355" s="11" t="s">
        <v>6</v>
      </c>
      <c r="O355" s="22">
        <v>65</v>
      </c>
      <c r="P355" s="1">
        <v>9</v>
      </c>
      <c r="R355" t="s">
        <v>40</v>
      </c>
    </row>
    <row r="356" spans="1:18" x14ac:dyDescent="0.25">
      <c r="A356" t="s">
        <v>506</v>
      </c>
      <c r="B356" t="s">
        <v>73</v>
      </c>
      <c r="C356" t="s">
        <v>74</v>
      </c>
      <c r="D356" s="1" t="s">
        <v>1026</v>
      </c>
      <c r="E356" t="s">
        <v>1546</v>
      </c>
      <c r="F356" t="s">
        <v>34</v>
      </c>
      <c r="G356" t="s">
        <v>10</v>
      </c>
      <c r="H356" t="s">
        <v>2066</v>
      </c>
      <c r="I356" t="s">
        <v>106</v>
      </c>
      <c r="J356" t="s">
        <v>2586</v>
      </c>
      <c r="K356" t="s">
        <v>5</v>
      </c>
      <c r="L356" s="22">
        <v>18</v>
      </c>
      <c r="M356" s="30">
        <v>1</v>
      </c>
      <c r="N356" s="11" t="s">
        <v>5</v>
      </c>
      <c r="O356" s="1">
        <v>80</v>
      </c>
      <c r="P356" s="1">
        <v>80</v>
      </c>
    </row>
    <row r="357" spans="1:18" x14ac:dyDescent="0.25">
      <c r="A357" t="s">
        <v>507</v>
      </c>
      <c r="B357" t="s">
        <v>78</v>
      </c>
      <c r="C357" t="s">
        <v>79</v>
      </c>
      <c r="D357" s="1" t="s">
        <v>1027</v>
      </c>
      <c r="E357" t="s">
        <v>1547</v>
      </c>
      <c r="F357" t="s">
        <v>75</v>
      </c>
      <c r="G357" t="s">
        <v>9</v>
      </c>
      <c r="H357" t="s">
        <v>2067</v>
      </c>
      <c r="I357" t="s">
        <v>131</v>
      </c>
      <c r="J357" t="s">
        <v>2587</v>
      </c>
      <c r="K357" t="s">
        <v>5</v>
      </c>
      <c r="L357" s="22">
        <v>7</v>
      </c>
      <c r="M357" s="30">
        <v>0.59523809523809523</v>
      </c>
      <c r="N357" s="11" t="s">
        <v>6</v>
      </c>
      <c r="O357" s="22">
        <v>84</v>
      </c>
      <c r="P357" s="1">
        <v>50</v>
      </c>
      <c r="R357" t="s">
        <v>40</v>
      </c>
    </row>
    <row r="358" spans="1:18" x14ac:dyDescent="0.25">
      <c r="A358" t="s">
        <v>508</v>
      </c>
      <c r="B358" t="s">
        <v>83</v>
      </c>
      <c r="C358" t="s">
        <v>57</v>
      </c>
      <c r="D358" s="1" t="s">
        <v>1028</v>
      </c>
      <c r="E358" t="s">
        <v>1548</v>
      </c>
      <c r="F358" t="s">
        <v>34</v>
      </c>
      <c r="G358" t="s">
        <v>11</v>
      </c>
      <c r="H358" t="s">
        <v>2068</v>
      </c>
      <c r="I358" t="s">
        <v>46</v>
      </c>
      <c r="J358" t="s">
        <v>2588</v>
      </c>
      <c r="K358" t="s">
        <v>5</v>
      </c>
      <c r="L358" s="22">
        <v>9</v>
      </c>
      <c r="M358" s="30">
        <v>1</v>
      </c>
      <c r="N358" s="11" t="s">
        <v>5</v>
      </c>
      <c r="O358" s="22">
        <v>80</v>
      </c>
      <c r="P358" s="1">
        <v>80</v>
      </c>
      <c r="R358" t="s">
        <v>40</v>
      </c>
    </row>
    <row r="359" spans="1:18" x14ac:dyDescent="0.25">
      <c r="A359" t="s">
        <v>509</v>
      </c>
      <c r="B359" t="s">
        <v>77</v>
      </c>
      <c r="C359" t="s">
        <v>57</v>
      </c>
      <c r="D359" s="1" t="s">
        <v>1029</v>
      </c>
      <c r="E359" t="s">
        <v>1549</v>
      </c>
      <c r="F359" t="s">
        <v>34</v>
      </c>
      <c r="G359" t="s">
        <v>8</v>
      </c>
      <c r="H359" t="s">
        <v>2069</v>
      </c>
      <c r="I359" t="s">
        <v>61</v>
      </c>
      <c r="J359" t="s">
        <v>2589</v>
      </c>
      <c r="K359" t="s">
        <v>5</v>
      </c>
      <c r="L359" s="22">
        <v>5</v>
      </c>
      <c r="M359" s="31">
        <v>1</v>
      </c>
      <c r="N359" s="11" t="s">
        <v>5</v>
      </c>
      <c r="O359" s="22">
        <v>68</v>
      </c>
      <c r="P359" s="1">
        <v>68</v>
      </c>
      <c r="R359" t="s">
        <v>40</v>
      </c>
    </row>
    <row r="360" spans="1:18" x14ac:dyDescent="0.25">
      <c r="A360" t="s">
        <v>510</v>
      </c>
      <c r="B360" t="s">
        <v>112</v>
      </c>
      <c r="C360" t="s">
        <v>85</v>
      </c>
      <c r="D360" s="1" t="s">
        <v>1030</v>
      </c>
      <c r="E360" t="s">
        <v>1550</v>
      </c>
      <c r="F360" t="s">
        <v>34</v>
      </c>
      <c r="G360" t="s">
        <v>11</v>
      </c>
      <c r="H360" t="s">
        <v>2070</v>
      </c>
      <c r="I360" t="s">
        <v>108</v>
      </c>
      <c r="J360" t="s">
        <v>2590</v>
      </c>
      <c r="K360" t="s">
        <v>5</v>
      </c>
      <c r="L360" s="22">
        <v>7</v>
      </c>
      <c r="M360" s="30">
        <v>0.4642857142857143</v>
      </c>
      <c r="N360" s="11" t="s">
        <v>6</v>
      </c>
      <c r="O360" s="1">
        <v>84</v>
      </c>
      <c r="P360" s="1">
        <v>39</v>
      </c>
    </row>
    <row r="361" spans="1:18" x14ac:dyDescent="0.25">
      <c r="A361" t="s">
        <v>511</v>
      </c>
      <c r="B361" t="s">
        <v>53</v>
      </c>
      <c r="C361" t="s">
        <v>48</v>
      </c>
      <c r="D361" s="1" t="s">
        <v>1031</v>
      </c>
      <c r="E361" t="s">
        <v>1551</v>
      </c>
      <c r="F361" t="s">
        <v>34</v>
      </c>
      <c r="G361" t="s">
        <v>12</v>
      </c>
      <c r="H361" t="s">
        <v>2071</v>
      </c>
      <c r="I361" t="s">
        <v>107</v>
      </c>
      <c r="J361" t="s">
        <v>2591</v>
      </c>
      <c r="K361" t="s">
        <v>5</v>
      </c>
      <c r="L361" s="22">
        <v>7</v>
      </c>
      <c r="M361" s="31">
        <v>0.171875</v>
      </c>
      <c r="N361" s="11" t="s">
        <v>6</v>
      </c>
      <c r="O361" s="22">
        <v>64</v>
      </c>
      <c r="P361" s="1">
        <v>11</v>
      </c>
      <c r="R361" t="s">
        <v>40</v>
      </c>
    </row>
    <row r="362" spans="1:18" x14ac:dyDescent="0.25">
      <c r="A362" t="s">
        <v>512</v>
      </c>
      <c r="B362" t="s">
        <v>115</v>
      </c>
      <c r="C362" t="s">
        <v>63</v>
      </c>
      <c r="D362" s="1" t="s">
        <v>1032</v>
      </c>
      <c r="E362" t="s">
        <v>1552</v>
      </c>
      <c r="F362" t="s">
        <v>34</v>
      </c>
      <c r="G362" t="s">
        <v>8</v>
      </c>
      <c r="H362" t="s">
        <v>2072</v>
      </c>
      <c r="I362" t="s">
        <v>61</v>
      </c>
      <c r="J362" t="s">
        <v>2592</v>
      </c>
      <c r="K362" t="s">
        <v>5</v>
      </c>
      <c r="L362" s="22">
        <v>6</v>
      </c>
      <c r="M362" s="30">
        <v>1</v>
      </c>
      <c r="N362" s="11" t="s">
        <v>5</v>
      </c>
      <c r="O362" s="22">
        <v>81</v>
      </c>
      <c r="P362" s="1">
        <v>81</v>
      </c>
      <c r="R362" t="s">
        <v>40</v>
      </c>
    </row>
    <row r="363" spans="1:18" x14ac:dyDescent="0.25">
      <c r="A363" t="s">
        <v>513</v>
      </c>
      <c r="B363" t="s">
        <v>45</v>
      </c>
      <c r="C363" t="s">
        <v>37</v>
      </c>
      <c r="D363" s="1" t="s">
        <v>1033</v>
      </c>
      <c r="E363" t="s">
        <v>1553</v>
      </c>
      <c r="F363" t="s">
        <v>34</v>
      </c>
      <c r="G363" t="s">
        <v>12</v>
      </c>
      <c r="H363" t="s">
        <v>2073</v>
      </c>
      <c r="I363" t="s">
        <v>64</v>
      </c>
      <c r="J363" t="s">
        <v>2593</v>
      </c>
      <c r="K363" t="s">
        <v>5</v>
      </c>
      <c r="L363" s="22">
        <v>9</v>
      </c>
      <c r="M363" s="30">
        <v>1</v>
      </c>
      <c r="N363" s="11" t="s">
        <v>5</v>
      </c>
      <c r="O363" s="1">
        <v>106</v>
      </c>
      <c r="P363" s="1">
        <v>106</v>
      </c>
    </row>
    <row r="364" spans="1:18" x14ac:dyDescent="0.25">
      <c r="A364" t="s">
        <v>514</v>
      </c>
      <c r="B364" t="s">
        <v>112</v>
      </c>
      <c r="C364" t="s">
        <v>85</v>
      </c>
      <c r="D364" s="1" t="s">
        <v>1034</v>
      </c>
      <c r="E364" t="s">
        <v>1554</v>
      </c>
      <c r="F364" t="s">
        <v>34</v>
      </c>
      <c r="G364" t="s">
        <v>11</v>
      </c>
      <c r="H364" t="s">
        <v>2074</v>
      </c>
      <c r="I364" t="s">
        <v>76</v>
      </c>
      <c r="J364" t="s">
        <v>2594</v>
      </c>
      <c r="K364" t="s">
        <v>5</v>
      </c>
      <c r="L364" s="22">
        <v>6</v>
      </c>
      <c r="M364" s="30">
        <v>1</v>
      </c>
      <c r="N364" s="11" t="s">
        <v>5</v>
      </c>
      <c r="O364" s="22">
        <v>81</v>
      </c>
      <c r="P364" s="1">
        <v>81</v>
      </c>
      <c r="R364" t="s">
        <v>40</v>
      </c>
    </row>
    <row r="365" spans="1:18" x14ac:dyDescent="0.25">
      <c r="A365" t="s">
        <v>515</v>
      </c>
      <c r="B365" t="s">
        <v>53</v>
      </c>
      <c r="C365" t="s">
        <v>48</v>
      </c>
      <c r="D365" s="1" t="s">
        <v>1035</v>
      </c>
      <c r="E365" t="s">
        <v>1555</v>
      </c>
      <c r="F365" t="s">
        <v>34</v>
      </c>
      <c r="G365" t="s">
        <v>12</v>
      </c>
      <c r="H365" t="s">
        <v>2075</v>
      </c>
      <c r="I365" t="s">
        <v>68</v>
      </c>
      <c r="J365" t="s">
        <v>2595</v>
      </c>
      <c r="K365" t="s">
        <v>5</v>
      </c>
      <c r="L365" s="22">
        <v>9</v>
      </c>
      <c r="M365" s="31">
        <v>1</v>
      </c>
      <c r="N365" s="11" t="s">
        <v>5</v>
      </c>
      <c r="O365" s="22">
        <v>72</v>
      </c>
      <c r="P365" s="1">
        <v>72</v>
      </c>
      <c r="R365" t="s">
        <v>40</v>
      </c>
    </row>
    <row r="366" spans="1:18" x14ac:dyDescent="0.25">
      <c r="A366" t="s">
        <v>516</v>
      </c>
      <c r="B366" t="s">
        <v>88</v>
      </c>
      <c r="C366" t="s">
        <v>48</v>
      </c>
      <c r="D366" s="1" t="s">
        <v>1036</v>
      </c>
      <c r="E366" t="s">
        <v>1556</v>
      </c>
      <c r="F366" t="s">
        <v>70</v>
      </c>
      <c r="G366" t="s">
        <v>12</v>
      </c>
      <c r="H366" t="s">
        <v>2076</v>
      </c>
      <c r="I366" t="s">
        <v>54</v>
      </c>
      <c r="J366" t="s">
        <v>2596</v>
      </c>
      <c r="K366" t="s">
        <v>5</v>
      </c>
      <c r="L366" s="22">
        <v>9</v>
      </c>
      <c r="M366" s="31">
        <v>1</v>
      </c>
      <c r="N366" s="11" t="s">
        <v>5</v>
      </c>
      <c r="O366" s="22">
        <v>84</v>
      </c>
      <c r="P366" s="1">
        <v>84</v>
      </c>
      <c r="R366" t="s">
        <v>40</v>
      </c>
    </row>
    <row r="367" spans="1:18" x14ac:dyDescent="0.25">
      <c r="A367" t="s">
        <v>517</v>
      </c>
      <c r="B367" t="s">
        <v>45</v>
      </c>
      <c r="C367" t="s">
        <v>37</v>
      </c>
      <c r="D367" s="1" t="s">
        <v>1037</v>
      </c>
      <c r="E367" t="s">
        <v>1557</v>
      </c>
      <c r="F367" t="s">
        <v>34</v>
      </c>
      <c r="G367" t="s">
        <v>12</v>
      </c>
      <c r="H367" t="s">
        <v>2077</v>
      </c>
      <c r="I367" t="s">
        <v>101</v>
      </c>
      <c r="J367" t="s">
        <v>2597</v>
      </c>
      <c r="K367" t="s">
        <v>5</v>
      </c>
      <c r="L367" s="22">
        <v>9</v>
      </c>
      <c r="M367" s="30">
        <v>1</v>
      </c>
      <c r="N367" s="11" t="s">
        <v>5</v>
      </c>
      <c r="O367" s="22">
        <v>80</v>
      </c>
      <c r="P367" s="1">
        <v>80</v>
      </c>
      <c r="Q367" t="s">
        <v>44</v>
      </c>
      <c r="R367" t="s">
        <v>40</v>
      </c>
    </row>
    <row r="368" spans="1:18" x14ac:dyDescent="0.25">
      <c r="A368" t="s">
        <v>518</v>
      </c>
      <c r="B368" t="s">
        <v>32</v>
      </c>
      <c r="C368" t="s">
        <v>33</v>
      </c>
      <c r="D368" s="1" t="s">
        <v>1038</v>
      </c>
      <c r="E368" t="s">
        <v>1558</v>
      </c>
      <c r="F368" t="s">
        <v>75</v>
      </c>
      <c r="G368" t="s">
        <v>12</v>
      </c>
      <c r="H368" t="s">
        <v>2078</v>
      </c>
      <c r="I368" t="s">
        <v>50</v>
      </c>
      <c r="J368" t="s">
        <v>2598</v>
      </c>
      <c r="K368" t="s">
        <v>5</v>
      </c>
      <c r="L368" s="22">
        <v>7</v>
      </c>
      <c r="M368" s="30">
        <v>1</v>
      </c>
      <c r="N368" s="11" t="s">
        <v>5</v>
      </c>
      <c r="O368" s="1">
        <v>98</v>
      </c>
      <c r="P368" s="1">
        <v>98</v>
      </c>
    </row>
    <row r="369" spans="1:18" x14ac:dyDescent="0.25">
      <c r="A369" t="s">
        <v>519</v>
      </c>
      <c r="B369" t="s">
        <v>73</v>
      </c>
      <c r="C369" t="s">
        <v>74</v>
      </c>
      <c r="D369" s="1" t="s">
        <v>1039</v>
      </c>
      <c r="E369" t="s">
        <v>1559</v>
      </c>
      <c r="F369" t="s">
        <v>34</v>
      </c>
      <c r="G369" t="s">
        <v>11</v>
      </c>
      <c r="H369" t="s">
        <v>2079</v>
      </c>
      <c r="I369" t="s">
        <v>100</v>
      </c>
      <c r="J369" t="s">
        <v>2599</v>
      </c>
      <c r="K369" t="s">
        <v>5</v>
      </c>
      <c r="L369" s="22">
        <v>7</v>
      </c>
      <c r="M369" s="30">
        <v>0.62820512820512819</v>
      </c>
      <c r="N369" s="11" t="s">
        <v>6</v>
      </c>
      <c r="O369" s="1">
        <v>78</v>
      </c>
      <c r="P369" s="1">
        <v>49</v>
      </c>
    </row>
    <row r="370" spans="1:18" x14ac:dyDescent="0.25">
      <c r="A370" t="s">
        <v>520</v>
      </c>
      <c r="B370" t="s">
        <v>51</v>
      </c>
      <c r="C370" t="s">
        <v>37</v>
      </c>
      <c r="D370" s="1" t="s">
        <v>1040</v>
      </c>
      <c r="E370" t="s">
        <v>1560</v>
      </c>
      <c r="F370" t="s">
        <v>94</v>
      </c>
      <c r="G370" t="s">
        <v>12</v>
      </c>
      <c r="H370" t="s">
        <v>2080</v>
      </c>
      <c r="I370" t="s">
        <v>42</v>
      </c>
      <c r="J370" t="s">
        <v>2600</v>
      </c>
      <c r="K370" t="s">
        <v>5</v>
      </c>
      <c r="L370" s="22">
        <v>7</v>
      </c>
      <c r="M370" s="30">
        <v>1</v>
      </c>
      <c r="N370" s="11" t="s">
        <v>5</v>
      </c>
      <c r="O370" s="22">
        <v>76</v>
      </c>
      <c r="P370" s="1">
        <v>76</v>
      </c>
      <c r="R370" t="s">
        <v>40</v>
      </c>
    </row>
    <row r="371" spans="1:18" x14ac:dyDescent="0.25">
      <c r="A371" t="s">
        <v>521</v>
      </c>
      <c r="B371" t="s">
        <v>78</v>
      </c>
      <c r="C371" t="s">
        <v>79</v>
      </c>
      <c r="D371" s="1" t="s">
        <v>1041</v>
      </c>
      <c r="E371" t="s">
        <v>1561</v>
      </c>
      <c r="F371" t="s">
        <v>70</v>
      </c>
      <c r="G371" t="s">
        <v>12</v>
      </c>
      <c r="H371" t="s">
        <v>2081</v>
      </c>
      <c r="I371" t="s">
        <v>52</v>
      </c>
      <c r="J371" t="s">
        <v>2601</v>
      </c>
      <c r="K371" t="s">
        <v>5</v>
      </c>
      <c r="L371" s="22">
        <v>7</v>
      </c>
      <c r="M371" s="31">
        <v>1</v>
      </c>
      <c r="N371" s="11" t="s">
        <v>5</v>
      </c>
      <c r="O371" s="22">
        <v>66</v>
      </c>
      <c r="P371" s="1">
        <v>66</v>
      </c>
      <c r="R371" t="s">
        <v>40</v>
      </c>
    </row>
    <row r="372" spans="1:18" x14ac:dyDescent="0.25">
      <c r="A372" t="s">
        <v>522</v>
      </c>
      <c r="B372" t="s">
        <v>67</v>
      </c>
      <c r="C372" t="s">
        <v>48</v>
      </c>
      <c r="D372" s="1" t="s">
        <v>1042</v>
      </c>
      <c r="E372" t="s">
        <v>1562</v>
      </c>
      <c r="F372" t="s">
        <v>70</v>
      </c>
      <c r="G372" t="s">
        <v>12</v>
      </c>
      <c r="H372" t="s">
        <v>2082</v>
      </c>
      <c r="I372" t="s">
        <v>52</v>
      </c>
      <c r="J372" t="s">
        <v>2602</v>
      </c>
      <c r="K372" t="s">
        <v>5</v>
      </c>
      <c r="L372" s="22">
        <v>9</v>
      </c>
      <c r="M372" s="31">
        <v>0.32558139534883723</v>
      </c>
      <c r="N372" s="11" t="s">
        <v>6</v>
      </c>
      <c r="O372" s="22">
        <v>86</v>
      </c>
      <c r="P372" s="1">
        <v>28</v>
      </c>
      <c r="R372" t="s">
        <v>40</v>
      </c>
    </row>
    <row r="373" spans="1:18" x14ac:dyDescent="0.25">
      <c r="A373" t="s">
        <v>523</v>
      </c>
      <c r="B373" t="s">
        <v>32</v>
      </c>
      <c r="C373" t="s">
        <v>33</v>
      </c>
      <c r="D373" s="1" t="s">
        <v>1043</v>
      </c>
      <c r="E373" t="s">
        <v>1563</v>
      </c>
      <c r="F373" t="s">
        <v>34</v>
      </c>
      <c r="G373" t="s">
        <v>12</v>
      </c>
      <c r="H373" t="s">
        <v>2083</v>
      </c>
      <c r="I373" t="s">
        <v>35</v>
      </c>
      <c r="J373" t="s">
        <v>2603</v>
      </c>
      <c r="K373" t="s">
        <v>5</v>
      </c>
      <c r="L373" s="22">
        <v>6</v>
      </c>
      <c r="M373" s="30">
        <v>0.46391752577319589</v>
      </c>
      <c r="N373" s="11" t="s">
        <v>6</v>
      </c>
      <c r="O373" s="1">
        <v>97</v>
      </c>
      <c r="P373" s="1">
        <v>45</v>
      </c>
    </row>
    <row r="374" spans="1:18" x14ac:dyDescent="0.25">
      <c r="A374" t="s">
        <v>524</v>
      </c>
      <c r="B374" t="s">
        <v>51</v>
      </c>
      <c r="C374" t="s">
        <v>37</v>
      </c>
      <c r="D374" s="1" t="s">
        <v>1044</v>
      </c>
      <c r="E374" t="s">
        <v>1564</v>
      </c>
      <c r="F374" t="s">
        <v>75</v>
      </c>
      <c r="G374" t="s">
        <v>12</v>
      </c>
      <c r="H374" t="s">
        <v>2084</v>
      </c>
      <c r="I374" t="s">
        <v>50</v>
      </c>
      <c r="J374" t="s">
        <v>2604</v>
      </c>
      <c r="K374" t="s">
        <v>5</v>
      </c>
      <c r="L374" s="22">
        <v>9</v>
      </c>
      <c r="M374" s="30">
        <v>1</v>
      </c>
      <c r="N374" s="23" t="s">
        <v>5</v>
      </c>
      <c r="O374" s="22">
        <v>104</v>
      </c>
      <c r="P374" s="1">
        <v>104</v>
      </c>
      <c r="Q374" t="s">
        <v>44</v>
      </c>
      <c r="R374" t="s">
        <v>40</v>
      </c>
    </row>
    <row r="375" spans="1:18" x14ac:dyDescent="0.25">
      <c r="A375" t="s">
        <v>525</v>
      </c>
      <c r="B375" t="s">
        <v>73</v>
      </c>
      <c r="C375" t="s">
        <v>74</v>
      </c>
      <c r="D375" s="1" t="s">
        <v>1045</v>
      </c>
      <c r="E375" t="s">
        <v>1565</v>
      </c>
      <c r="F375" t="s">
        <v>34</v>
      </c>
      <c r="G375" t="s">
        <v>12</v>
      </c>
      <c r="H375" t="s">
        <v>2085</v>
      </c>
      <c r="I375" t="s">
        <v>64</v>
      </c>
      <c r="J375" t="s">
        <v>2605</v>
      </c>
      <c r="K375" t="s">
        <v>5</v>
      </c>
      <c r="L375" s="22">
        <v>7</v>
      </c>
      <c r="M375" s="30">
        <v>0.71794871794871795</v>
      </c>
      <c r="N375" s="11" t="s">
        <v>6</v>
      </c>
      <c r="O375" s="22">
        <v>78</v>
      </c>
      <c r="P375" s="1">
        <v>56</v>
      </c>
      <c r="R375" t="s">
        <v>40</v>
      </c>
    </row>
    <row r="376" spans="1:18" x14ac:dyDescent="0.25">
      <c r="A376" t="s">
        <v>526</v>
      </c>
      <c r="B376" t="s">
        <v>67</v>
      </c>
      <c r="C376" t="s">
        <v>48</v>
      </c>
      <c r="D376" s="1" t="s">
        <v>1046</v>
      </c>
      <c r="E376" t="s">
        <v>1566</v>
      </c>
      <c r="F376" t="s">
        <v>34</v>
      </c>
      <c r="G376" t="s">
        <v>10</v>
      </c>
      <c r="H376" t="s">
        <v>2086</v>
      </c>
      <c r="I376" t="s">
        <v>106</v>
      </c>
      <c r="J376" t="s">
        <v>2606</v>
      </c>
      <c r="K376" t="s">
        <v>5</v>
      </c>
      <c r="L376" s="22">
        <v>9</v>
      </c>
      <c r="M376" s="31">
        <v>1</v>
      </c>
      <c r="N376" s="11" t="s">
        <v>5</v>
      </c>
      <c r="O376" s="22">
        <v>80</v>
      </c>
      <c r="P376" s="1">
        <v>80</v>
      </c>
      <c r="R376" t="s">
        <v>40</v>
      </c>
    </row>
    <row r="377" spans="1:18" x14ac:dyDescent="0.25">
      <c r="A377" t="s">
        <v>527</v>
      </c>
      <c r="B377" t="s">
        <v>47</v>
      </c>
      <c r="C377" t="s">
        <v>48</v>
      </c>
      <c r="D377" s="1" t="s">
        <v>1047</v>
      </c>
      <c r="E377" t="s">
        <v>1567</v>
      </c>
      <c r="F377" t="s">
        <v>43</v>
      </c>
      <c r="G377" t="s">
        <v>12</v>
      </c>
      <c r="H377" t="s">
        <v>2087</v>
      </c>
      <c r="I377" t="s">
        <v>52</v>
      </c>
      <c r="J377" t="s">
        <v>2607</v>
      </c>
      <c r="K377" t="s">
        <v>5</v>
      </c>
      <c r="L377" s="22">
        <v>9</v>
      </c>
      <c r="M377" s="31">
        <v>1</v>
      </c>
      <c r="N377" s="22" t="s">
        <v>5</v>
      </c>
      <c r="O377" s="22">
        <v>86</v>
      </c>
      <c r="P377" s="22">
        <v>86</v>
      </c>
      <c r="Q377" t="s">
        <v>44</v>
      </c>
      <c r="R377" t="s">
        <v>40</v>
      </c>
    </row>
    <row r="378" spans="1:18" x14ac:dyDescent="0.25">
      <c r="A378" t="s">
        <v>528</v>
      </c>
      <c r="B378" t="s">
        <v>128</v>
      </c>
      <c r="C378" t="s">
        <v>128</v>
      </c>
      <c r="D378" s="1" t="s">
        <v>1048</v>
      </c>
      <c r="E378" t="s">
        <v>1568</v>
      </c>
      <c r="F378" t="s">
        <v>75</v>
      </c>
      <c r="G378" t="s">
        <v>11</v>
      </c>
      <c r="H378" t="s">
        <v>2088</v>
      </c>
      <c r="I378" t="s">
        <v>46</v>
      </c>
      <c r="J378" t="s">
        <v>2608</v>
      </c>
      <c r="K378" t="s">
        <v>5</v>
      </c>
      <c r="L378" s="22">
        <v>9</v>
      </c>
      <c r="M378" s="31">
        <v>1</v>
      </c>
      <c r="N378" s="11" t="s">
        <v>5</v>
      </c>
      <c r="O378" s="22">
        <v>80</v>
      </c>
      <c r="P378" s="1">
        <v>80</v>
      </c>
      <c r="R378" t="s">
        <v>40</v>
      </c>
    </row>
    <row r="379" spans="1:18" x14ac:dyDescent="0.25">
      <c r="A379" t="s">
        <v>529</v>
      </c>
      <c r="B379" t="s">
        <v>45</v>
      </c>
      <c r="C379" t="s">
        <v>37</v>
      </c>
      <c r="D379" s="1" t="s">
        <v>1049</v>
      </c>
      <c r="E379" t="s">
        <v>1569</v>
      </c>
      <c r="F379" t="s">
        <v>41</v>
      </c>
      <c r="G379" t="s">
        <v>11</v>
      </c>
      <c r="H379" t="s">
        <v>2089</v>
      </c>
      <c r="I379" t="s">
        <v>46</v>
      </c>
      <c r="J379" t="s">
        <v>2609</v>
      </c>
      <c r="K379" t="s">
        <v>5</v>
      </c>
      <c r="L379" s="22">
        <v>7</v>
      </c>
      <c r="M379" s="30">
        <v>0.40625</v>
      </c>
      <c r="N379" s="11" t="s">
        <v>6</v>
      </c>
      <c r="O379" s="1">
        <v>64</v>
      </c>
      <c r="P379" s="1">
        <v>26</v>
      </c>
      <c r="R379" t="s">
        <v>40</v>
      </c>
    </row>
    <row r="380" spans="1:18" x14ac:dyDescent="0.25">
      <c r="A380" t="s">
        <v>530</v>
      </c>
      <c r="B380" t="s">
        <v>53</v>
      </c>
      <c r="C380" t="s">
        <v>48</v>
      </c>
      <c r="D380" s="1" t="s">
        <v>1050</v>
      </c>
      <c r="E380" t="s">
        <v>1570</v>
      </c>
      <c r="F380" t="s">
        <v>34</v>
      </c>
      <c r="G380" t="s">
        <v>12</v>
      </c>
      <c r="H380" t="s">
        <v>2090</v>
      </c>
      <c r="I380" t="s">
        <v>42</v>
      </c>
      <c r="J380" t="s">
        <v>2610</v>
      </c>
      <c r="K380" t="s">
        <v>5</v>
      </c>
      <c r="L380" s="22">
        <v>9</v>
      </c>
      <c r="M380" s="30">
        <v>1</v>
      </c>
      <c r="N380" s="11" t="s">
        <v>5</v>
      </c>
      <c r="O380" s="1">
        <v>104</v>
      </c>
      <c r="P380" s="1">
        <v>104</v>
      </c>
    </row>
    <row r="381" spans="1:18" x14ac:dyDescent="0.25">
      <c r="A381" t="s">
        <v>531</v>
      </c>
      <c r="B381" t="s">
        <v>53</v>
      </c>
      <c r="C381" t="s">
        <v>48</v>
      </c>
      <c r="D381" s="1" t="s">
        <v>1051</v>
      </c>
      <c r="E381" t="s">
        <v>1571</v>
      </c>
      <c r="F381" t="s">
        <v>49</v>
      </c>
      <c r="G381" t="s">
        <v>12</v>
      </c>
      <c r="H381" t="s">
        <v>2091</v>
      </c>
      <c r="I381" t="s">
        <v>42</v>
      </c>
      <c r="J381" t="s">
        <v>2611</v>
      </c>
      <c r="K381" t="s">
        <v>5</v>
      </c>
      <c r="L381" s="22">
        <v>7</v>
      </c>
      <c r="M381" s="30">
        <v>0.31034482758620691</v>
      </c>
      <c r="N381" s="11" t="s">
        <v>6</v>
      </c>
      <c r="O381" s="1">
        <v>58</v>
      </c>
      <c r="P381" s="1">
        <v>18</v>
      </c>
      <c r="R381" t="s">
        <v>40</v>
      </c>
    </row>
    <row r="382" spans="1:18" x14ac:dyDescent="0.25">
      <c r="A382" t="s">
        <v>532</v>
      </c>
      <c r="B382" t="s">
        <v>73</v>
      </c>
      <c r="C382" t="s">
        <v>74</v>
      </c>
      <c r="D382" s="1" t="s">
        <v>1052</v>
      </c>
      <c r="E382" t="s">
        <v>1572</v>
      </c>
      <c r="F382" t="s">
        <v>75</v>
      </c>
      <c r="G382" t="s">
        <v>11</v>
      </c>
      <c r="H382" t="s">
        <v>2092</v>
      </c>
      <c r="I382" t="s">
        <v>46</v>
      </c>
      <c r="J382" t="s">
        <v>2612</v>
      </c>
      <c r="K382" t="s">
        <v>5</v>
      </c>
      <c r="L382" s="22">
        <v>5</v>
      </c>
      <c r="M382" s="31">
        <v>1</v>
      </c>
      <c r="N382" s="11" t="s">
        <v>5</v>
      </c>
      <c r="O382" s="22">
        <v>68</v>
      </c>
      <c r="P382" s="1">
        <v>68</v>
      </c>
      <c r="R382" t="s">
        <v>40</v>
      </c>
    </row>
    <row r="383" spans="1:18" x14ac:dyDescent="0.25">
      <c r="A383" t="s">
        <v>533</v>
      </c>
      <c r="B383" t="s">
        <v>93</v>
      </c>
      <c r="C383" t="s">
        <v>85</v>
      </c>
      <c r="D383" s="1" t="s">
        <v>1053</v>
      </c>
      <c r="E383" t="s">
        <v>1573</v>
      </c>
      <c r="F383" t="s">
        <v>34</v>
      </c>
      <c r="G383" t="s">
        <v>8</v>
      </c>
      <c r="H383" t="s">
        <v>2093</v>
      </c>
      <c r="I383" t="s">
        <v>61</v>
      </c>
      <c r="J383" t="s">
        <v>2613</v>
      </c>
      <c r="K383" t="s">
        <v>5</v>
      </c>
      <c r="L383" s="22">
        <v>5</v>
      </c>
      <c r="M383" s="31">
        <v>1</v>
      </c>
      <c r="N383" s="11" t="s">
        <v>5</v>
      </c>
      <c r="O383" s="22">
        <v>64</v>
      </c>
      <c r="P383" s="1">
        <v>64</v>
      </c>
      <c r="R383" t="s">
        <v>40</v>
      </c>
    </row>
    <row r="384" spans="1:18" x14ac:dyDescent="0.25">
      <c r="A384" t="s">
        <v>534</v>
      </c>
      <c r="B384" t="s">
        <v>67</v>
      </c>
      <c r="C384" t="s">
        <v>48</v>
      </c>
      <c r="D384" s="1" t="s">
        <v>1054</v>
      </c>
      <c r="E384" t="s">
        <v>1574</v>
      </c>
      <c r="F384" t="s">
        <v>34</v>
      </c>
      <c r="G384" t="s">
        <v>12</v>
      </c>
      <c r="H384" t="s">
        <v>2094</v>
      </c>
      <c r="I384" t="s">
        <v>64</v>
      </c>
      <c r="J384" t="s">
        <v>2614</v>
      </c>
      <c r="K384" t="s">
        <v>5</v>
      </c>
      <c r="L384" s="22">
        <v>7</v>
      </c>
      <c r="M384" s="31">
        <v>0.82258064516129037</v>
      </c>
      <c r="N384" s="11" t="s">
        <v>6</v>
      </c>
      <c r="O384" s="22">
        <v>62</v>
      </c>
      <c r="P384" s="1">
        <v>51</v>
      </c>
      <c r="R384" t="s">
        <v>40</v>
      </c>
    </row>
    <row r="385" spans="1:18" x14ac:dyDescent="0.25">
      <c r="A385" t="s">
        <v>535</v>
      </c>
      <c r="B385" t="s">
        <v>53</v>
      </c>
      <c r="C385" t="s">
        <v>48</v>
      </c>
      <c r="D385" s="1" t="s">
        <v>1055</v>
      </c>
      <c r="E385" t="s">
        <v>1575</v>
      </c>
      <c r="F385" t="s">
        <v>34</v>
      </c>
      <c r="G385" t="s">
        <v>12</v>
      </c>
      <c r="H385" t="s">
        <v>2095</v>
      </c>
      <c r="I385" t="s">
        <v>64</v>
      </c>
      <c r="J385" t="s">
        <v>2615</v>
      </c>
      <c r="K385" t="s">
        <v>5</v>
      </c>
      <c r="L385" s="22">
        <v>9</v>
      </c>
      <c r="M385" s="30">
        <v>1</v>
      </c>
      <c r="N385" s="11" t="s">
        <v>5</v>
      </c>
      <c r="O385" s="1">
        <v>102</v>
      </c>
      <c r="P385" s="1">
        <v>102</v>
      </c>
    </row>
    <row r="386" spans="1:18" x14ac:dyDescent="0.25">
      <c r="A386" t="s">
        <v>536</v>
      </c>
      <c r="B386" t="s">
        <v>45</v>
      </c>
      <c r="C386" t="s">
        <v>37</v>
      </c>
      <c r="D386" s="1" t="s">
        <v>1056</v>
      </c>
      <c r="E386" t="s">
        <v>1576</v>
      </c>
      <c r="F386" t="s">
        <v>34</v>
      </c>
      <c r="G386" t="s">
        <v>11</v>
      </c>
      <c r="H386" t="s">
        <v>2096</v>
      </c>
      <c r="I386" t="s">
        <v>108</v>
      </c>
      <c r="J386" t="s">
        <v>2616</v>
      </c>
      <c r="K386" t="s">
        <v>5</v>
      </c>
      <c r="L386" s="22">
        <v>7</v>
      </c>
      <c r="M386" s="30">
        <v>1</v>
      </c>
      <c r="N386" s="11" t="s">
        <v>5</v>
      </c>
      <c r="O386" s="1">
        <v>64</v>
      </c>
      <c r="P386" s="1">
        <v>64</v>
      </c>
      <c r="R386" t="s">
        <v>40</v>
      </c>
    </row>
    <row r="387" spans="1:18" x14ac:dyDescent="0.25">
      <c r="A387" t="s">
        <v>537</v>
      </c>
      <c r="B387" t="s">
        <v>51</v>
      </c>
      <c r="C387" t="s">
        <v>37</v>
      </c>
      <c r="D387" s="1" t="s">
        <v>1057</v>
      </c>
      <c r="E387" t="s">
        <v>1577</v>
      </c>
      <c r="F387" t="s">
        <v>34</v>
      </c>
      <c r="G387" t="s">
        <v>12</v>
      </c>
      <c r="H387" t="s">
        <v>2097</v>
      </c>
      <c r="I387" t="s">
        <v>42</v>
      </c>
      <c r="J387" t="s">
        <v>2617</v>
      </c>
      <c r="K387" t="s">
        <v>5</v>
      </c>
      <c r="L387" s="22">
        <v>9</v>
      </c>
      <c r="M387" s="30">
        <v>1</v>
      </c>
      <c r="N387" s="23" t="s">
        <v>5</v>
      </c>
      <c r="O387" s="22">
        <v>81</v>
      </c>
      <c r="P387" s="1">
        <v>81</v>
      </c>
      <c r="Q387" t="s">
        <v>44</v>
      </c>
      <c r="R387" t="s">
        <v>40</v>
      </c>
    </row>
    <row r="388" spans="1:18" x14ac:dyDescent="0.25">
      <c r="A388" t="s">
        <v>538</v>
      </c>
      <c r="B388" t="s">
        <v>99</v>
      </c>
      <c r="C388" t="s">
        <v>63</v>
      </c>
      <c r="D388" s="1" t="s">
        <v>1058</v>
      </c>
      <c r="E388" t="s">
        <v>1578</v>
      </c>
      <c r="F388" t="s">
        <v>34</v>
      </c>
      <c r="G388" t="s">
        <v>11</v>
      </c>
      <c r="H388" t="s">
        <v>2098</v>
      </c>
      <c r="I388" t="s">
        <v>108</v>
      </c>
      <c r="J388" t="s">
        <v>2618</v>
      </c>
      <c r="K388" t="s">
        <v>5</v>
      </c>
      <c r="L388" s="22">
        <v>5</v>
      </c>
      <c r="M388" s="31">
        <v>0.67741935483870963</v>
      </c>
      <c r="N388" s="11" t="s">
        <v>6</v>
      </c>
      <c r="O388" s="22">
        <v>62</v>
      </c>
      <c r="P388" s="1">
        <v>42</v>
      </c>
      <c r="R388" t="s">
        <v>40</v>
      </c>
    </row>
    <row r="389" spans="1:18" x14ac:dyDescent="0.25">
      <c r="A389" t="s">
        <v>539</v>
      </c>
      <c r="B389" t="s">
        <v>53</v>
      </c>
      <c r="C389" t="s">
        <v>48</v>
      </c>
      <c r="D389" s="1" t="s">
        <v>1059</v>
      </c>
      <c r="E389" t="s">
        <v>1579</v>
      </c>
      <c r="F389" t="s">
        <v>43</v>
      </c>
      <c r="G389" t="s">
        <v>12</v>
      </c>
      <c r="H389" t="s">
        <v>2099</v>
      </c>
      <c r="I389" t="s">
        <v>103</v>
      </c>
      <c r="J389" t="s">
        <v>2619</v>
      </c>
      <c r="K389" t="s">
        <v>5</v>
      </c>
      <c r="L389" s="22">
        <v>7</v>
      </c>
      <c r="M389" s="31">
        <v>1</v>
      </c>
      <c r="N389" s="11" t="s">
        <v>5</v>
      </c>
      <c r="O389" s="22">
        <v>72</v>
      </c>
      <c r="P389" s="1">
        <v>72</v>
      </c>
      <c r="R389" t="s">
        <v>40</v>
      </c>
    </row>
    <row r="390" spans="1:18" x14ac:dyDescent="0.25">
      <c r="A390" t="s">
        <v>540</v>
      </c>
      <c r="B390" t="s">
        <v>47</v>
      </c>
      <c r="C390" t="s">
        <v>48</v>
      </c>
      <c r="D390" s="1" t="s">
        <v>1060</v>
      </c>
      <c r="E390" t="s">
        <v>1580</v>
      </c>
      <c r="F390" t="s">
        <v>43</v>
      </c>
      <c r="G390" t="s">
        <v>12</v>
      </c>
      <c r="H390" t="s">
        <v>2100</v>
      </c>
      <c r="I390" t="s">
        <v>35</v>
      </c>
      <c r="J390" t="s">
        <v>2620</v>
      </c>
      <c r="K390" t="s">
        <v>5</v>
      </c>
      <c r="L390" s="22">
        <v>9</v>
      </c>
      <c r="M390" s="30">
        <v>0.73584905660377353</v>
      </c>
      <c r="N390" s="23" t="s">
        <v>6</v>
      </c>
      <c r="O390" s="22">
        <v>106</v>
      </c>
      <c r="P390" s="1">
        <v>78</v>
      </c>
      <c r="Q390" t="s">
        <v>44</v>
      </c>
      <c r="R390" t="s">
        <v>40</v>
      </c>
    </row>
    <row r="391" spans="1:18" x14ac:dyDescent="0.25">
      <c r="A391" t="s">
        <v>541</v>
      </c>
      <c r="B391" t="s">
        <v>53</v>
      </c>
      <c r="C391" t="s">
        <v>48</v>
      </c>
      <c r="D391" s="1" t="s">
        <v>1061</v>
      </c>
      <c r="E391" t="s">
        <v>1581</v>
      </c>
      <c r="F391" t="s">
        <v>75</v>
      </c>
      <c r="G391" t="s">
        <v>12</v>
      </c>
      <c r="H391" t="s">
        <v>2101</v>
      </c>
      <c r="I391" t="s">
        <v>54</v>
      </c>
      <c r="J391" t="s">
        <v>2621</v>
      </c>
      <c r="K391" t="s">
        <v>5</v>
      </c>
      <c r="L391" s="22">
        <v>9</v>
      </c>
      <c r="M391" s="30">
        <v>1</v>
      </c>
      <c r="N391" s="11" t="s">
        <v>5</v>
      </c>
      <c r="O391" s="1">
        <v>78</v>
      </c>
      <c r="P391" s="1">
        <v>78</v>
      </c>
    </row>
    <row r="392" spans="1:18" x14ac:dyDescent="0.25">
      <c r="A392" t="s">
        <v>542</v>
      </c>
      <c r="B392" t="s">
        <v>47</v>
      </c>
      <c r="C392" t="s">
        <v>48</v>
      </c>
      <c r="D392" s="1" t="s">
        <v>1062</v>
      </c>
      <c r="E392" t="s">
        <v>1582</v>
      </c>
      <c r="F392" t="s">
        <v>43</v>
      </c>
      <c r="G392" t="s">
        <v>12</v>
      </c>
      <c r="H392" t="s">
        <v>2102</v>
      </c>
      <c r="I392" t="s">
        <v>35</v>
      </c>
      <c r="J392" t="s">
        <v>2622</v>
      </c>
      <c r="K392" t="s">
        <v>5</v>
      </c>
      <c r="L392" s="22">
        <v>9</v>
      </c>
      <c r="M392" s="31">
        <v>0.35</v>
      </c>
      <c r="N392" s="11" t="s">
        <v>6</v>
      </c>
      <c r="O392" s="22">
        <v>80</v>
      </c>
      <c r="P392" s="1">
        <v>28</v>
      </c>
      <c r="R392" t="s">
        <v>40</v>
      </c>
    </row>
    <row r="393" spans="1:18" x14ac:dyDescent="0.25">
      <c r="A393" t="s">
        <v>543</v>
      </c>
      <c r="B393" t="s">
        <v>67</v>
      </c>
      <c r="C393" t="s">
        <v>48</v>
      </c>
      <c r="D393" s="1" t="s">
        <v>1063</v>
      </c>
      <c r="E393" t="s">
        <v>1583</v>
      </c>
      <c r="F393" t="s">
        <v>114</v>
      </c>
      <c r="G393" t="s">
        <v>12</v>
      </c>
      <c r="H393" t="s">
        <v>2103</v>
      </c>
      <c r="I393" t="s">
        <v>42</v>
      </c>
      <c r="J393" t="s">
        <v>2623</v>
      </c>
      <c r="K393" t="s">
        <v>5</v>
      </c>
      <c r="L393" s="22">
        <v>7</v>
      </c>
      <c r="M393" s="31">
        <v>1</v>
      </c>
      <c r="N393" s="11" t="s">
        <v>5</v>
      </c>
      <c r="O393" s="22">
        <v>84</v>
      </c>
      <c r="P393" s="1">
        <v>84</v>
      </c>
      <c r="R393" t="s">
        <v>40</v>
      </c>
    </row>
    <row r="394" spans="1:18" x14ac:dyDescent="0.25">
      <c r="A394" t="s">
        <v>544</v>
      </c>
      <c r="B394" t="s">
        <v>83</v>
      </c>
      <c r="C394" t="s">
        <v>57</v>
      </c>
      <c r="D394" s="1" t="s">
        <v>1064</v>
      </c>
      <c r="E394" t="s">
        <v>1584</v>
      </c>
      <c r="F394" t="s">
        <v>34</v>
      </c>
      <c r="G394" t="s">
        <v>11</v>
      </c>
      <c r="H394" t="s">
        <v>2104</v>
      </c>
      <c r="I394" t="s">
        <v>46</v>
      </c>
      <c r="J394" t="s">
        <v>2624</v>
      </c>
      <c r="K394" t="s">
        <v>5</v>
      </c>
      <c r="L394" s="22">
        <v>7</v>
      </c>
      <c r="M394" s="31">
        <v>1</v>
      </c>
      <c r="N394" s="11" t="s">
        <v>5</v>
      </c>
      <c r="O394" s="22">
        <v>78</v>
      </c>
      <c r="P394" s="1">
        <v>78</v>
      </c>
      <c r="R394" t="s">
        <v>40</v>
      </c>
    </row>
    <row r="395" spans="1:18" x14ac:dyDescent="0.25">
      <c r="A395" t="s">
        <v>545</v>
      </c>
      <c r="B395" t="s">
        <v>88</v>
      </c>
      <c r="C395" t="s">
        <v>48</v>
      </c>
      <c r="D395" s="1" t="s">
        <v>1065</v>
      </c>
      <c r="E395" t="s">
        <v>1585</v>
      </c>
      <c r="F395" t="s">
        <v>75</v>
      </c>
      <c r="G395" t="s">
        <v>12</v>
      </c>
      <c r="H395" t="s">
        <v>2105</v>
      </c>
      <c r="I395" t="s">
        <v>72</v>
      </c>
      <c r="J395" t="s">
        <v>2625</v>
      </c>
      <c r="K395" t="s">
        <v>5</v>
      </c>
      <c r="L395" s="22">
        <v>7</v>
      </c>
      <c r="M395" s="30">
        <v>0.17741935483870969</v>
      </c>
      <c r="N395" s="11" t="s">
        <v>6</v>
      </c>
      <c r="O395" s="22">
        <v>62</v>
      </c>
      <c r="P395" s="1">
        <v>11</v>
      </c>
      <c r="R395" t="s">
        <v>40</v>
      </c>
    </row>
    <row r="396" spans="1:18" x14ac:dyDescent="0.25">
      <c r="A396" t="s">
        <v>546</v>
      </c>
      <c r="B396" t="s">
        <v>88</v>
      </c>
      <c r="C396" t="s">
        <v>48</v>
      </c>
      <c r="D396" s="1" t="s">
        <v>1066</v>
      </c>
      <c r="E396" t="s">
        <v>1586</v>
      </c>
      <c r="F396" t="s">
        <v>34</v>
      </c>
      <c r="G396" t="s">
        <v>12</v>
      </c>
      <c r="H396" t="s">
        <v>2106</v>
      </c>
      <c r="I396" t="s">
        <v>64</v>
      </c>
      <c r="J396" t="s">
        <v>2626</v>
      </c>
      <c r="K396" t="s">
        <v>5</v>
      </c>
      <c r="L396" s="22">
        <v>7</v>
      </c>
      <c r="M396" s="30">
        <v>1</v>
      </c>
      <c r="N396" s="11" t="s">
        <v>5</v>
      </c>
      <c r="O396" s="1">
        <v>62</v>
      </c>
      <c r="P396" s="1">
        <v>62</v>
      </c>
      <c r="R396" t="s">
        <v>40</v>
      </c>
    </row>
    <row r="397" spans="1:18" x14ac:dyDescent="0.25">
      <c r="A397" t="s">
        <v>547</v>
      </c>
      <c r="B397" t="s">
        <v>78</v>
      </c>
      <c r="C397" t="s">
        <v>79</v>
      </c>
      <c r="D397" s="1" t="s">
        <v>1067</v>
      </c>
      <c r="E397" t="s">
        <v>1587</v>
      </c>
      <c r="F397" t="s">
        <v>41</v>
      </c>
      <c r="G397" t="s">
        <v>12</v>
      </c>
      <c r="H397" t="s">
        <v>2107</v>
      </c>
      <c r="I397" t="s">
        <v>72</v>
      </c>
      <c r="J397" t="s">
        <v>2627</v>
      </c>
      <c r="K397" t="s">
        <v>5</v>
      </c>
      <c r="L397" s="22">
        <v>7</v>
      </c>
      <c r="M397" s="31">
        <v>1</v>
      </c>
      <c r="N397" s="11" t="s">
        <v>5</v>
      </c>
      <c r="O397" s="22">
        <v>82</v>
      </c>
      <c r="P397" s="1">
        <v>82</v>
      </c>
      <c r="R397" t="s">
        <v>40</v>
      </c>
    </row>
    <row r="398" spans="1:18" x14ac:dyDescent="0.25">
      <c r="A398" t="s">
        <v>548</v>
      </c>
      <c r="B398" t="s">
        <v>67</v>
      </c>
      <c r="C398" t="s">
        <v>48</v>
      </c>
      <c r="D398" s="1" t="s">
        <v>1068</v>
      </c>
      <c r="E398" t="s">
        <v>1588</v>
      </c>
      <c r="F398" t="s">
        <v>34</v>
      </c>
      <c r="G398" t="s">
        <v>12</v>
      </c>
      <c r="H398" t="s">
        <v>2108</v>
      </c>
      <c r="I398" t="s">
        <v>64</v>
      </c>
      <c r="J398" t="s">
        <v>2628</v>
      </c>
      <c r="K398" t="s">
        <v>5</v>
      </c>
      <c r="L398" s="22">
        <v>9</v>
      </c>
      <c r="M398" s="30">
        <v>0.7592592592592593</v>
      </c>
      <c r="N398" s="11" t="s">
        <v>6</v>
      </c>
      <c r="O398" s="1">
        <v>108</v>
      </c>
      <c r="P398" s="1">
        <v>82</v>
      </c>
    </row>
    <row r="399" spans="1:18" x14ac:dyDescent="0.25">
      <c r="A399" t="s">
        <v>549</v>
      </c>
      <c r="B399" t="s">
        <v>51</v>
      </c>
      <c r="C399" t="s">
        <v>37</v>
      </c>
      <c r="D399" s="1" t="s">
        <v>1069</v>
      </c>
      <c r="E399" t="s">
        <v>1589</v>
      </c>
      <c r="F399" t="s">
        <v>43</v>
      </c>
      <c r="G399" t="s">
        <v>12</v>
      </c>
      <c r="H399" t="s">
        <v>2109</v>
      </c>
      <c r="I399" t="s">
        <v>142</v>
      </c>
      <c r="J399" t="s">
        <v>2629</v>
      </c>
      <c r="K399" t="s">
        <v>5</v>
      </c>
      <c r="L399" s="22">
        <v>9</v>
      </c>
      <c r="M399" s="30">
        <v>1</v>
      </c>
      <c r="N399" s="11" t="s">
        <v>5</v>
      </c>
      <c r="O399" s="1">
        <v>106</v>
      </c>
      <c r="P399" s="1">
        <v>106</v>
      </c>
      <c r="R399" t="s">
        <v>40</v>
      </c>
    </row>
    <row r="400" spans="1:18" x14ac:dyDescent="0.25">
      <c r="A400" t="s">
        <v>550</v>
      </c>
      <c r="B400" t="s">
        <v>67</v>
      </c>
      <c r="C400" t="s">
        <v>48</v>
      </c>
      <c r="D400" s="1" t="s">
        <v>1070</v>
      </c>
      <c r="E400" t="s">
        <v>1590</v>
      </c>
      <c r="F400" t="s">
        <v>70</v>
      </c>
      <c r="G400" t="s">
        <v>12</v>
      </c>
      <c r="H400" t="s">
        <v>2110</v>
      </c>
      <c r="I400" t="s">
        <v>52</v>
      </c>
      <c r="J400" t="s">
        <v>2630</v>
      </c>
      <c r="K400" t="s">
        <v>5</v>
      </c>
      <c r="L400" s="22">
        <v>9</v>
      </c>
      <c r="M400" s="31">
        <v>1</v>
      </c>
      <c r="N400" s="11" t="s">
        <v>5</v>
      </c>
      <c r="O400" s="22">
        <v>72</v>
      </c>
      <c r="P400" s="1">
        <v>72</v>
      </c>
      <c r="R400" t="s">
        <v>40</v>
      </c>
    </row>
    <row r="401" spans="1:18" x14ac:dyDescent="0.25">
      <c r="A401" t="s">
        <v>551</v>
      </c>
      <c r="B401" t="s">
        <v>96</v>
      </c>
      <c r="C401" t="s">
        <v>97</v>
      </c>
      <c r="D401" s="1" t="s">
        <v>1071</v>
      </c>
      <c r="E401" t="s">
        <v>1591</v>
      </c>
      <c r="F401" t="s">
        <v>41</v>
      </c>
      <c r="G401" t="s">
        <v>12</v>
      </c>
      <c r="H401" t="s">
        <v>2111</v>
      </c>
      <c r="I401" t="s">
        <v>42</v>
      </c>
      <c r="J401" t="s">
        <v>2631</v>
      </c>
      <c r="K401" t="s">
        <v>5</v>
      </c>
      <c r="L401" s="22">
        <v>7</v>
      </c>
      <c r="M401" s="30">
        <v>1</v>
      </c>
      <c r="N401" s="11" t="s">
        <v>5</v>
      </c>
      <c r="O401" s="1">
        <v>50</v>
      </c>
      <c r="P401" s="1">
        <v>50</v>
      </c>
    </row>
    <row r="402" spans="1:18" x14ac:dyDescent="0.25">
      <c r="A402" t="s">
        <v>552</v>
      </c>
      <c r="B402" t="s">
        <v>88</v>
      </c>
      <c r="C402" t="s">
        <v>48</v>
      </c>
      <c r="D402" s="1" t="s">
        <v>1072</v>
      </c>
      <c r="E402" t="s">
        <v>1592</v>
      </c>
      <c r="F402" t="s">
        <v>34</v>
      </c>
      <c r="G402" t="s">
        <v>12</v>
      </c>
      <c r="H402" t="s">
        <v>2112</v>
      </c>
      <c r="I402" t="s">
        <v>35</v>
      </c>
      <c r="J402" t="s">
        <v>2632</v>
      </c>
      <c r="K402" t="s">
        <v>5</v>
      </c>
      <c r="L402" s="22">
        <v>7</v>
      </c>
      <c r="M402" s="30">
        <v>1</v>
      </c>
      <c r="N402" s="11" t="s">
        <v>5</v>
      </c>
      <c r="O402" s="1">
        <v>98</v>
      </c>
      <c r="P402" s="1">
        <v>98</v>
      </c>
    </row>
    <row r="403" spans="1:18" x14ac:dyDescent="0.25">
      <c r="A403" t="s">
        <v>553</v>
      </c>
      <c r="B403" t="s">
        <v>53</v>
      </c>
      <c r="C403" t="s">
        <v>48</v>
      </c>
      <c r="D403" s="1" t="s">
        <v>1073</v>
      </c>
      <c r="E403" t="s">
        <v>1593</v>
      </c>
      <c r="F403" t="s">
        <v>34</v>
      </c>
      <c r="G403" t="s">
        <v>12</v>
      </c>
      <c r="H403" t="s">
        <v>2113</v>
      </c>
      <c r="I403" t="s">
        <v>35</v>
      </c>
      <c r="J403" t="s">
        <v>2633</v>
      </c>
      <c r="K403" t="s">
        <v>5</v>
      </c>
      <c r="L403" s="22">
        <v>9</v>
      </c>
      <c r="M403" s="30">
        <v>0.22500000000000001</v>
      </c>
      <c r="N403" s="11" t="s">
        <v>6</v>
      </c>
      <c r="O403" s="1">
        <v>80</v>
      </c>
      <c r="P403" s="1">
        <v>18</v>
      </c>
    </row>
    <row r="404" spans="1:18" x14ac:dyDescent="0.25">
      <c r="A404" t="s">
        <v>554</v>
      </c>
      <c r="B404" t="s">
        <v>62</v>
      </c>
      <c r="C404" t="s">
        <v>63</v>
      </c>
      <c r="D404" s="1" t="s">
        <v>1074</v>
      </c>
      <c r="E404" t="s">
        <v>1594</v>
      </c>
      <c r="F404" t="s">
        <v>70</v>
      </c>
      <c r="G404" t="s">
        <v>12</v>
      </c>
      <c r="H404" t="s">
        <v>2114</v>
      </c>
      <c r="I404" t="s">
        <v>95</v>
      </c>
      <c r="J404" t="s">
        <v>2634</v>
      </c>
      <c r="K404" t="s">
        <v>5</v>
      </c>
      <c r="L404" s="22">
        <v>7</v>
      </c>
      <c r="M404" s="30">
        <v>1</v>
      </c>
      <c r="N404" s="23" t="s">
        <v>5</v>
      </c>
      <c r="O404" s="22">
        <v>84</v>
      </c>
      <c r="P404" s="1">
        <v>84</v>
      </c>
      <c r="Q404" t="s">
        <v>44</v>
      </c>
      <c r="R404" t="s">
        <v>40</v>
      </c>
    </row>
    <row r="405" spans="1:18" x14ac:dyDescent="0.25">
      <c r="A405" t="s">
        <v>555</v>
      </c>
      <c r="B405" t="s">
        <v>67</v>
      </c>
      <c r="C405" t="s">
        <v>48</v>
      </c>
      <c r="D405" s="1" t="s">
        <v>1075</v>
      </c>
      <c r="E405" t="s">
        <v>1595</v>
      </c>
      <c r="F405" t="s">
        <v>34</v>
      </c>
      <c r="G405" t="s">
        <v>12</v>
      </c>
      <c r="H405" t="s">
        <v>2115</v>
      </c>
      <c r="I405" t="s">
        <v>71</v>
      </c>
      <c r="J405" t="s">
        <v>2635</v>
      </c>
      <c r="K405" t="s">
        <v>5</v>
      </c>
      <c r="L405" s="22">
        <v>9</v>
      </c>
      <c r="M405" s="30">
        <v>1</v>
      </c>
      <c r="N405" s="11" t="s">
        <v>5</v>
      </c>
      <c r="O405" s="1">
        <v>94</v>
      </c>
      <c r="P405" s="1">
        <v>94</v>
      </c>
      <c r="R405" t="s">
        <v>40</v>
      </c>
    </row>
    <row r="406" spans="1:18" x14ac:dyDescent="0.25">
      <c r="A406" t="s">
        <v>556</v>
      </c>
      <c r="B406" t="s">
        <v>56</v>
      </c>
      <c r="C406" t="s">
        <v>57</v>
      </c>
      <c r="D406" s="1" t="s">
        <v>1076</v>
      </c>
      <c r="E406" t="s">
        <v>1596</v>
      </c>
      <c r="F406" t="s">
        <v>49</v>
      </c>
      <c r="G406" t="s">
        <v>12</v>
      </c>
      <c r="H406" t="s">
        <v>2116</v>
      </c>
      <c r="I406" t="s">
        <v>129</v>
      </c>
      <c r="J406" t="s">
        <v>2636</v>
      </c>
      <c r="K406" t="s">
        <v>5</v>
      </c>
      <c r="L406" s="22">
        <v>7</v>
      </c>
      <c r="M406" s="30">
        <v>1</v>
      </c>
      <c r="N406" s="11" t="s">
        <v>5</v>
      </c>
      <c r="O406" s="1">
        <v>80</v>
      </c>
      <c r="P406" s="1">
        <v>80</v>
      </c>
      <c r="R406" t="s">
        <v>40</v>
      </c>
    </row>
    <row r="407" spans="1:18" x14ac:dyDescent="0.25">
      <c r="A407" t="s">
        <v>557</v>
      </c>
      <c r="B407" t="s">
        <v>47</v>
      </c>
      <c r="C407" t="s">
        <v>48</v>
      </c>
      <c r="D407" s="1" t="s">
        <v>1077</v>
      </c>
      <c r="E407" t="s">
        <v>1597</v>
      </c>
      <c r="F407" t="s">
        <v>43</v>
      </c>
      <c r="G407" t="s">
        <v>12</v>
      </c>
      <c r="H407" t="s">
        <v>2117</v>
      </c>
      <c r="I407" t="s">
        <v>35</v>
      </c>
      <c r="J407" t="s">
        <v>2637</v>
      </c>
      <c r="K407" t="s">
        <v>5</v>
      </c>
      <c r="L407" s="22">
        <v>9</v>
      </c>
      <c r="M407" s="31">
        <v>0.8</v>
      </c>
      <c r="N407" s="11" t="s">
        <v>6</v>
      </c>
      <c r="O407" s="22">
        <v>70</v>
      </c>
      <c r="P407" s="1">
        <v>56</v>
      </c>
      <c r="R407" t="s">
        <v>40</v>
      </c>
    </row>
    <row r="408" spans="1:18" x14ac:dyDescent="0.25">
      <c r="A408" t="s">
        <v>558</v>
      </c>
      <c r="B408" t="s">
        <v>112</v>
      </c>
      <c r="C408" t="s">
        <v>85</v>
      </c>
      <c r="D408" s="1" t="s">
        <v>1078</v>
      </c>
      <c r="E408" t="s">
        <v>1598</v>
      </c>
      <c r="F408" t="s">
        <v>75</v>
      </c>
      <c r="G408" t="s">
        <v>11</v>
      </c>
      <c r="H408" t="s">
        <v>2118</v>
      </c>
      <c r="I408" t="s">
        <v>76</v>
      </c>
      <c r="J408" t="s">
        <v>2638</v>
      </c>
      <c r="K408" t="s">
        <v>5</v>
      </c>
      <c r="L408" s="22">
        <v>6</v>
      </c>
      <c r="M408" s="30">
        <v>1</v>
      </c>
      <c r="N408" s="11" t="s">
        <v>5</v>
      </c>
      <c r="O408" s="1">
        <v>97</v>
      </c>
      <c r="P408" s="1">
        <v>97</v>
      </c>
    </row>
    <row r="409" spans="1:18" x14ac:dyDescent="0.25">
      <c r="A409" t="s">
        <v>559</v>
      </c>
      <c r="B409" t="s">
        <v>32</v>
      </c>
      <c r="C409" t="s">
        <v>33</v>
      </c>
      <c r="D409" s="1" t="s">
        <v>1079</v>
      </c>
      <c r="E409" t="s">
        <v>1599</v>
      </c>
      <c r="F409" t="s">
        <v>75</v>
      </c>
      <c r="G409" t="s">
        <v>12</v>
      </c>
      <c r="H409" t="s">
        <v>2119</v>
      </c>
      <c r="I409" t="s">
        <v>35</v>
      </c>
      <c r="J409" t="s">
        <v>2639</v>
      </c>
      <c r="K409" t="s">
        <v>5</v>
      </c>
      <c r="L409" s="22">
        <v>7</v>
      </c>
      <c r="M409" s="30">
        <v>0.48979591836734693</v>
      </c>
      <c r="N409" s="11" t="s">
        <v>6</v>
      </c>
      <c r="O409" s="1">
        <v>98</v>
      </c>
      <c r="P409" s="1">
        <v>48</v>
      </c>
    </row>
    <row r="410" spans="1:18" x14ac:dyDescent="0.25">
      <c r="A410" t="s">
        <v>560</v>
      </c>
      <c r="B410" t="s">
        <v>47</v>
      </c>
      <c r="C410" t="s">
        <v>48</v>
      </c>
      <c r="D410" s="1" t="s">
        <v>1080</v>
      </c>
      <c r="E410" t="s">
        <v>1600</v>
      </c>
      <c r="F410" t="s">
        <v>43</v>
      </c>
      <c r="G410" t="s">
        <v>12</v>
      </c>
      <c r="H410" t="s">
        <v>2120</v>
      </c>
      <c r="I410" t="s">
        <v>42</v>
      </c>
      <c r="J410" t="s">
        <v>2640</v>
      </c>
      <c r="K410" t="s">
        <v>5</v>
      </c>
      <c r="L410" s="22">
        <v>9</v>
      </c>
      <c r="M410" s="30">
        <v>1</v>
      </c>
      <c r="N410" s="11" t="s">
        <v>5</v>
      </c>
      <c r="O410" s="1">
        <v>84</v>
      </c>
      <c r="P410" s="1">
        <v>84</v>
      </c>
      <c r="R410" t="s">
        <v>40</v>
      </c>
    </row>
    <row r="411" spans="1:18" x14ac:dyDescent="0.25">
      <c r="A411" t="s">
        <v>561</v>
      </c>
      <c r="B411" t="s">
        <v>88</v>
      </c>
      <c r="C411" t="s">
        <v>48</v>
      </c>
      <c r="D411" s="1" t="s">
        <v>1081</v>
      </c>
      <c r="E411" t="s">
        <v>1601</v>
      </c>
      <c r="F411" t="s">
        <v>82</v>
      </c>
      <c r="G411" t="s">
        <v>12</v>
      </c>
      <c r="H411" t="s">
        <v>2121</v>
      </c>
      <c r="I411" t="s">
        <v>35</v>
      </c>
      <c r="J411" t="s">
        <v>2641</v>
      </c>
      <c r="K411" t="s">
        <v>5</v>
      </c>
      <c r="L411" s="22">
        <v>9</v>
      </c>
      <c r="M411" s="31">
        <v>1</v>
      </c>
      <c r="N411" s="11" t="s">
        <v>5</v>
      </c>
      <c r="O411" s="22">
        <v>76</v>
      </c>
      <c r="P411" s="1">
        <v>76</v>
      </c>
      <c r="R411" t="s">
        <v>40</v>
      </c>
    </row>
    <row r="412" spans="1:18" x14ac:dyDescent="0.25">
      <c r="A412" t="s">
        <v>562</v>
      </c>
      <c r="B412" t="s">
        <v>51</v>
      </c>
      <c r="C412" t="s">
        <v>37</v>
      </c>
      <c r="D412" s="1" t="s">
        <v>1082</v>
      </c>
      <c r="E412" t="s">
        <v>1602</v>
      </c>
      <c r="F412" t="s">
        <v>75</v>
      </c>
      <c r="G412" t="s">
        <v>12</v>
      </c>
      <c r="H412" t="s">
        <v>2122</v>
      </c>
      <c r="I412" t="s">
        <v>50</v>
      </c>
      <c r="J412" t="s">
        <v>2642</v>
      </c>
      <c r="K412" t="s">
        <v>5</v>
      </c>
      <c r="L412" s="22">
        <v>9</v>
      </c>
      <c r="M412" s="30">
        <v>1</v>
      </c>
      <c r="N412" s="11" t="s">
        <v>5</v>
      </c>
      <c r="O412" s="1">
        <v>92</v>
      </c>
      <c r="P412" s="1">
        <v>92</v>
      </c>
    </row>
    <row r="413" spans="1:18" x14ac:dyDescent="0.25">
      <c r="A413" t="s">
        <v>563</v>
      </c>
      <c r="B413" t="s">
        <v>67</v>
      </c>
      <c r="C413" t="s">
        <v>48</v>
      </c>
      <c r="D413" s="1" t="s">
        <v>1083</v>
      </c>
      <c r="E413" t="s">
        <v>1603</v>
      </c>
      <c r="F413" t="s">
        <v>41</v>
      </c>
      <c r="G413" t="s">
        <v>12</v>
      </c>
      <c r="H413" t="s">
        <v>2123</v>
      </c>
      <c r="I413" t="s">
        <v>42</v>
      </c>
      <c r="J413" t="s">
        <v>2643</v>
      </c>
      <c r="K413" t="s">
        <v>5</v>
      </c>
      <c r="L413" s="22">
        <v>9</v>
      </c>
      <c r="M413" s="30">
        <v>0.38461538461538464</v>
      </c>
      <c r="N413" s="11" t="s">
        <v>6</v>
      </c>
      <c r="O413" s="1">
        <v>78</v>
      </c>
      <c r="P413" s="1">
        <v>30</v>
      </c>
    </row>
    <row r="414" spans="1:18" x14ac:dyDescent="0.25">
      <c r="A414" t="s">
        <v>564</v>
      </c>
      <c r="B414" t="s">
        <v>51</v>
      </c>
      <c r="C414" t="s">
        <v>37</v>
      </c>
      <c r="D414" s="1" t="s">
        <v>1084</v>
      </c>
      <c r="E414" t="s">
        <v>1604</v>
      </c>
      <c r="F414" t="s">
        <v>43</v>
      </c>
      <c r="G414" t="s">
        <v>12</v>
      </c>
      <c r="H414" t="s">
        <v>2124</v>
      </c>
      <c r="I414" t="s">
        <v>55</v>
      </c>
      <c r="J414" t="s">
        <v>2644</v>
      </c>
      <c r="K414" t="s">
        <v>5</v>
      </c>
      <c r="L414" s="22">
        <v>18</v>
      </c>
      <c r="M414" s="30">
        <v>1</v>
      </c>
      <c r="N414" s="11" t="s">
        <v>5</v>
      </c>
      <c r="O414" s="1">
        <v>104</v>
      </c>
      <c r="P414" s="1">
        <v>104</v>
      </c>
      <c r="R414" t="s">
        <v>40</v>
      </c>
    </row>
    <row r="415" spans="1:18" x14ac:dyDescent="0.25">
      <c r="A415" t="s">
        <v>565</v>
      </c>
      <c r="B415" t="s">
        <v>45</v>
      </c>
      <c r="C415" t="s">
        <v>37</v>
      </c>
      <c r="D415" s="1" t="s">
        <v>1085</v>
      </c>
      <c r="E415" t="s">
        <v>1605</v>
      </c>
      <c r="F415" t="s">
        <v>34</v>
      </c>
      <c r="G415" t="s">
        <v>9</v>
      </c>
      <c r="H415" t="s">
        <v>2125</v>
      </c>
      <c r="I415" t="s">
        <v>131</v>
      </c>
      <c r="J415" t="s">
        <v>2645</v>
      </c>
      <c r="K415" t="s">
        <v>5</v>
      </c>
      <c r="L415" s="22">
        <v>9</v>
      </c>
      <c r="M415" s="30">
        <v>1</v>
      </c>
      <c r="N415" s="11" t="s">
        <v>5</v>
      </c>
      <c r="O415" s="1">
        <v>70</v>
      </c>
      <c r="P415" s="1">
        <v>70</v>
      </c>
      <c r="R415" t="s">
        <v>40</v>
      </c>
    </row>
    <row r="416" spans="1:18" x14ac:dyDescent="0.25">
      <c r="A416" t="s">
        <v>566</v>
      </c>
      <c r="B416" t="s">
        <v>67</v>
      </c>
      <c r="C416" t="s">
        <v>48</v>
      </c>
      <c r="D416" s="1" t="s">
        <v>1086</v>
      </c>
      <c r="E416" t="s">
        <v>1606</v>
      </c>
      <c r="F416" t="s">
        <v>34</v>
      </c>
      <c r="G416" t="s">
        <v>12</v>
      </c>
      <c r="H416" t="s">
        <v>2126</v>
      </c>
      <c r="I416" t="s">
        <v>35</v>
      </c>
      <c r="J416" t="s">
        <v>2646</v>
      </c>
      <c r="K416" t="s">
        <v>5</v>
      </c>
      <c r="L416" s="22">
        <v>7</v>
      </c>
      <c r="M416" s="30">
        <v>0.32</v>
      </c>
      <c r="N416" s="11" t="s">
        <v>6</v>
      </c>
      <c r="O416" s="1">
        <v>50</v>
      </c>
      <c r="P416" s="1">
        <v>16</v>
      </c>
    </row>
    <row r="417" spans="1:18" x14ac:dyDescent="0.25">
      <c r="A417" t="s">
        <v>567</v>
      </c>
      <c r="B417" t="s">
        <v>56</v>
      </c>
      <c r="C417" t="s">
        <v>57</v>
      </c>
      <c r="D417" s="1" t="s">
        <v>1087</v>
      </c>
      <c r="E417" t="s">
        <v>1607</v>
      </c>
      <c r="F417" t="s">
        <v>38</v>
      </c>
      <c r="G417" t="s">
        <v>12</v>
      </c>
      <c r="H417" t="s">
        <v>2127</v>
      </c>
      <c r="J417" t="s">
        <v>2647</v>
      </c>
      <c r="K417" t="s">
        <v>5</v>
      </c>
      <c r="L417" s="22">
        <v>9</v>
      </c>
      <c r="M417" s="30">
        <v>0.85897435897435892</v>
      </c>
      <c r="N417" s="11" t="s">
        <v>6</v>
      </c>
      <c r="O417" s="1">
        <v>78</v>
      </c>
      <c r="P417" s="1">
        <v>67</v>
      </c>
      <c r="R417" t="s">
        <v>40</v>
      </c>
    </row>
    <row r="418" spans="1:18" x14ac:dyDescent="0.25">
      <c r="A418" t="s">
        <v>568</v>
      </c>
      <c r="B418" t="s">
        <v>143</v>
      </c>
      <c r="C418" t="s">
        <v>85</v>
      </c>
      <c r="D418" s="1" t="s">
        <v>1088</v>
      </c>
      <c r="E418" t="s">
        <v>1608</v>
      </c>
      <c r="F418" t="s">
        <v>49</v>
      </c>
      <c r="G418" t="s">
        <v>12</v>
      </c>
      <c r="H418" t="s">
        <v>2128</v>
      </c>
      <c r="I418" t="s">
        <v>52</v>
      </c>
      <c r="J418" t="s">
        <v>2648</v>
      </c>
      <c r="K418" t="s">
        <v>5</v>
      </c>
      <c r="L418" s="22">
        <v>7</v>
      </c>
      <c r="M418" s="30">
        <v>1</v>
      </c>
      <c r="N418" s="11" t="s">
        <v>5</v>
      </c>
      <c r="O418" s="1">
        <v>82</v>
      </c>
      <c r="P418" s="1">
        <v>82</v>
      </c>
    </row>
    <row r="419" spans="1:18" x14ac:dyDescent="0.25">
      <c r="A419" t="s">
        <v>569</v>
      </c>
      <c r="B419" t="s">
        <v>45</v>
      </c>
      <c r="C419" t="s">
        <v>37</v>
      </c>
      <c r="D419" s="1" t="s">
        <v>1089</v>
      </c>
      <c r="E419" t="s">
        <v>1609</v>
      </c>
      <c r="F419" t="s">
        <v>34</v>
      </c>
      <c r="G419" t="s">
        <v>11</v>
      </c>
      <c r="H419" t="s">
        <v>2129</v>
      </c>
      <c r="I419" t="s">
        <v>81</v>
      </c>
      <c r="J419" t="s">
        <v>2649</v>
      </c>
      <c r="K419" t="s">
        <v>5</v>
      </c>
      <c r="L419" s="22">
        <v>8</v>
      </c>
      <c r="M419" s="30">
        <v>1</v>
      </c>
      <c r="N419" s="11" t="s">
        <v>5</v>
      </c>
      <c r="O419" s="1">
        <v>83</v>
      </c>
      <c r="P419" s="1">
        <v>83</v>
      </c>
    </row>
    <row r="420" spans="1:18" x14ac:dyDescent="0.25">
      <c r="A420" t="s">
        <v>570</v>
      </c>
      <c r="B420" t="s">
        <v>56</v>
      </c>
      <c r="C420" t="s">
        <v>57</v>
      </c>
      <c r="D420" s="1" t="s">
        <v>1090</v>
      </c>
      <c r="E420" t="s">
        <v>1610</v>
      </c>
      <c r="F420" t="s">
        <v>49</v>
      </c>
      <c r="G420" t="s">
        <v>12</v>
      </c>
      <c r="H420" t="s">
        <v>2130</v>
      </c>
      <c r="I420" t="s">
        <v>129</v>
      </c>
      <c r="J420" t="s">
        <v>2650</v>
      </c>
      <c r="K420" t="s">
        <v>5</v>
      </c>
      <c r="L420" s="22">
        <v>9</v>
      </c>
      <c r="M420" s="30">
        <v>0.30769230769230771</v>
      </c>
      <c r="N420" s="11" t="s">
        <v>6</v>
      </c>
      <c r="O420" s="1">
        <v>78</v>
      </c>
      <c r="P420" s="1">
        <v>24</v>
      </c>
      <c r="R420" t="s">
        <v>40</v>
      </c>
    </row>
    <row r="421" spans="1:18" x14ac:dyDescent="0.25">
      <c r="A421" t="s">
        <v>571</v>
      </c>
      <c r="B421" t="s">
        <v>51</v>
      </c>
      <c r="C421" t="s">
        <v>37</v>
      </c>
      <c r="D421" s="1" t="s">
        <v>1091</v>
      </c>
      <c r="E421" t="s">
        <v>1611</v>
      </c>
      <c r="F421" t="s">
        <v>34</v>
      </c>
      <c r="G421" t="s">
        <v>12</v>
      </c>
      <c r="H421" t="s">
        <v>2131</v>
      </c>
      <c r="I421" t="s">
        <v>50</v>
      </c>
      <c r="J421" t="s">
        <v>2651</v>
      </c>
      <c r="K421" t="s">
        <v>5</v>
      </c>
      <c r="L421" s="22">
        <v>7</v>
      </c>
      <c r="M421" s="30">
        <v>1</v>
      </c>
      <c r="N421" s="11" t="s">
        <v>5</v>
      </c>
      <c r="O421" s="1">
        <v>62</v>
      </c>
      <c r="P421" s="1">
        <v>62</v>
      </c>
      <c r="R421" t="s">
        <v>40</v>
      </c>
    </row>
    <row r="422" spans="1:18" x14ac:dyDescent="0.25">
      <c r="A422" t="s">
        <v>572</v>
      </c>
      <c r="B422" t="s">
        <v>93</v>
      </c>
      <c r="C422" t="s">
        <v>85</v>
      </c>
      <c r="D422" s="1" t="s">
        <v>1092</v>
      </c>
      <c r="E422" t="s">
        <v>1612</v>
      </c>
      <c r="F422" t="s">
        <v>75</v>
      </c>
      <c r="G422" t="s">
        <v>8</v>
      </c>
      <c r="H422" t="s">
        <v>2132</v>
      </c>
      <c r="I422" t="s">
        <v>144</v>
      </c>
      <c r="J422" t="s">
        <v>2652</v>
      </c>
      <c r="K422" t="s">
        <v>5</v>
      </c>
      <c r="L422" s="22">
        <v>5</v>
      </c>
      <c r="M422" s="30">
        <v>0.70967741935483875</v>
      </c>
      <c r="N422" s="11" t="s">
        <v>6</v>
      </c>
      <c r="O422" s="22">
        <v>62</v>
      </c>
      <c r="P422" s="1">
        <v>44</v>
      </c>
      <c r="R422" t="s">
        <v>40</v>
      </c>
    </row>
    <row r="423" spans="1:18" s="5" customFormat="1" x14ac:dyDescent="0.25">
      <c r="A423" t="s">
        <v>573</v>
      </c>
      <c r="B423" s="5" t="s">
        <v>51</v>
      </c>
      <c r="C423" s="5" t="s">
        <v>37</v>
      </c>
      <c r="D423" s="14" t="s">
        <v>1093</v>
      </c>
      <c r="E423" s="5" t="s">
        <v>1613</v>
      </c>
      <c r="F423" s="5" t="s">
        <v>75</v>
      </c>
      <c r="G423" s="5" t="s">
        <v>12</v>
      </c>
      <c r="H423" t="s">
        <v>2133</v>
      </c>
      <c r="I423" s="5" t="s">
        <v>80</v>
      </c>
      <c r="J423" s="5" t="s">
        <v>2653</v>
      </c>
      <c r="K423" s="5" t="s">
        <v>5</v>
      </c>
      <c r="L423" s="25">
        <v>7</v>
      </c>
      <c r="M423" s="31">
        <v>1</v>
      </c>
      <c r="N423" s="11" t="s">
        <v>5</v>
      </c>
      <c r="O423" s="22">
        <v>82</v>
      </c>
      <c r="P423" s="1">
        <v>82</v>
      </c>
      <c r="Q423"/>
      <c r="R423" t="s">
        <v>40</v>
      </c>
    </row>
    <row r="424" spans="1:18" x14ac:dyDescent="0.25">
      <c r="A424" t="s">
        <v>574</v>
      </c>
      <c r="B424" t="s">
        <v>51</v>
      </c>
      <c r="C424" t="s">
        <v>37</v>
      </c>
      <c r="D424" s="1" t="s">
        <v>1094</v>
      </c>
      <c r="E424" t="s">
        <v>1614</v>
      </c>
      <c r="F424" t="s">
        <v>43</v>
      </c>
      <c r="G424" t="s">
        <v>12</v>
      </c>
      <c r="H424" t="s">
        <v>2134</v>
      </c>
      <c r="I424" t="s">
        <v>35</v>
      </c>
      <c r="J424" t="s">
        <v>2654</v>
      </c>
      <c r="K424" t="s">
        <v>5</v>
      </c>
      <c r="L424" s="22">
        <v>9</v>
      </c>
      <c r="M424" s="30">
        <v>0.32500000000000001</v>
      </c>
      <c r="N424" s="11" t="s">
        <v>6</v>
      </c>
      <c r="O424" s="22">
        <v>80</v>
      </c>
      <c r="P424" s="1">
        <v>26</v>
      </c>
      <c r="R424" t="s">
        <v>40</v>
      </c>
    </row>
    <row r="425" spans="1:18" x14ac:dyDescent="0.25">
      <c r="A425" t="s">
        <v>575</v>
      </c>
      <c r="B425" t="s">
        <v>56</v>
      </c>
      <c r="C425" t="s">
        <v>57</v>
      </c>
      <c r="D425" s="1" t="s">
        <v>1095</v>
      </c>
      <c r="E425" t="s">
        <v>1615</v>
      </c>
      <c r="F425" t="s">
        <v>70</v>
      </c>
      <c r="G425" t="s">
        <v>12</v>
      </c>
      <c r="H425" t="s">
        <v>2135</v>
      </c>
      <c r="I425" t="s">
        <v>52</v>
      </c>
      <c r="J425" t="s">
        <v>2655</v>
      </c>
      <c r="K425" t="s">
        <v>5</v>
      </c>
      <c r="L425" s="22">
        <v>9</v>
      </c>
      <c r="M425" s="31">
        <v>1</v>
      </c>
      <c r="N425" s="11" t="s">
        <v>5</v>
      </c>
      <c r="O425" s="22">
        <v>78</v>
      </c>
      <c r="P425" s="1">
        <v>78</v>
      </c>
      <c r="R425" t="s">
        <v>40</v>
      </c>
    </row>
    <row r="426" spans="1:18" x14ac:dyDescent="0.25">
      <c r="A426" t="s">
        <v>576</v>
      </c>
      <c r="B426" t="s">
        <v>32</v>
      </c>
      <c r="C426" t="s">
        <v>33</v>
      </c>
      <c r="D426" s="1" t="s">
        <v>1096</v>
      </c>
      <c r="E426" t="s">
        <v>1616</v>
      </c>
      <c r="F426" t="s">
        <v>41</v>
      </c>
      <c r="G426" t="s">
        <v>12</v>
      </c>
      <c r="H426" t="s">
        <v>2136</v>
      </c>
      <c r="I426" t="s">
        <v>42</v>
      </c>
      <c r="J426" t="s">
        <v>2656</v>
      </c>
      <c r="K426" t="s">
        <v>5</v>
      </c>
      <c r="L426" s="22">
        <v>9</v>
      </c>
      <c r="M426" s="30">
        <v>1</v>
      </c>
      <c r="N426" s="11" t="s">
        <v>5</v>
      </c>
      <c r="O426" s="1">
        <v>84</v>
      </c>
      <c r="P426" s="1">
        <v>84</v>
      </c>
      <c r="R426" t="s">
        <v>40</v>
      </c>
    </row>
    <row r="427" spans="1:18" x14ac:dyDescent="0.25">
      <c r="A427" t="s">
        <v>577</v>
      </c>
      <c r="B427" t="s">
        <v>32</v>
      </c>
      <c r="C427" t="s">
        <v>33</v>
      </c>
      <c r="D427" s="1" t="s">
        <v>1097</v>
      </c>
      <c r="E427" t="s">
        <v>1617</v>
      </c>
      <c r="F427" t="s">
        <v>70</v>
      </c>
      <c r="G427" t="s">
        <v>12</v>
      </c>
      <c r="H427" t="s">
        <v>2137</v>
      </c>
      <c r="I427" t="s">
        <v>35</v>
      </c>
      <c r="J427" t="s">
        <v>2657</v>
      </c>
      <c r="K427" t="s">
        <v>5</v>
      </c>
      <c r="L427" s="22">
        <v>7</v>
      </c>
      <c r="M427" s="31">
        <v>1</v>
      </c>
      <c r="N427" s="11" t="s">
        <v>5</v>
      </c>
      <c r="O427" s="22">
        <v>118</v>
      </c>
      <c r="P427" s="1">
        <v>118</v>
      </c>
      <c r="R427" t="s">
        <v>40</v>
      </c>
    </row>
    <row r="428" spans="1:18" x14ac:dyDescent="0.25">
      <c r="A428" t="s">
        <v>578</v>
      </c>
      <c r="B428" t="s">
        <v>102</v>
      </c>
      <c r="C428" t="s">
        <v>85</v>
      </c>
      <c r="D428" s="1" t="s">
        <v>1098</v>
      </c>
      <c r="E428" t="s">
        <v>1618</v>
      </c>
      <c r="F428" t="s">
        <v>34</v>
      </c>
      <c r="G428" t="s">
        <v>12</v>
      </c>
      <c r="H428" t="s">
        <v>2138</v>
      </c>
      <c r="I428" t="s">
        <v>145</v>
      </c>
      <c r="J428" t="s">
        <v>2658</v>
      </c>
      <c r="K428" t="s">
        <v>5</v>
      </c>
      <c r="L428" s="22">
        <v>7</v>
      </c>
      <c r="M428" s="30">
        <v>1</v>
      </c>
      <c r="N428" s="11" t="s">
        <v>5</v>
      </c>
      <c r="O428" s="1">
        <v>98</v>
      </c>
      <c r="P428" s="1">
        <v>98</v>
      </c>
    </row>
    <row r="429" spans="1:18" x14ac:dyDescent="0.25">
      <c r="A429" t="s">
        <v>579</v>
      </c>
      <c r="B429" t="s">
        <v>51</v>
      </c>
      <c r="C429" t="s">
        <v>37</v>
      </c>
      <c r="D429" s="1" t="s">
        <v>1099</v>
      </c>
      <c r="E429" t="s">
        <v>1619</v>
      </c>
      <c r="F429" t="s">
        <v>41</v>
      </c>
      <c r="G429" t="s">
        <v>12</v>
      </c>
      <c r="H429" t="s">
        <v>2139</v>
      </c>
      <c r="I429" t="s">
        <v>107</v>
      </c>
      <c r="J429" t="s">
        <v>2659</v>
      </c>
      <c r="K429" t="s">
        <v>5</v>
      </c>
      <c r="L429" s="22">
        <v>7</v>
      </c>
      <c r="M429" s="30">
        <v>1</v>
      </c>
      <c r="N429" s="11" t="s">
        <v>5</v>
      </c>
      <c r="O429" s="1">
        <v>62</v>
      </c>
      <c r="P429" s="1">
        <v>62</v>
      </c>
      <c r="R429" t="s">
        <v>40</v>
      </c>
    </row>
    <row r="430" spans="1:18" x14ac:dyDescent="0.25">
      <c r="A430" t="s">
        <v>580</v>
      </c>
      <c r="B430" t="s">
        <v>51</v>
      </c>
      <c r="C430" t="s">
        <v>37</v>
      </c>
      <c r="D430" s="1" t="s">
        <v>1100</v>
      </c>
      <c r="E430" t="s">
        <v>1620</v>
      </c>
      <c r="F430" t="s">
        <v>82</v>
      </c>
      <c r="G430" t="s">
        <v>12</v>
      </c>
      <c r="H430" t="s">
        <v>2140</v>
      </c>
      <c r="I430" t="s">
        <v>72</v>
      </c>
      <c r="J430" t="s">
        <v>2660</v>
      </c>
      <c r="K430" t="s">
        <v>5</v>
      </c>
      <c r="L430" s="22">
        <v>9</v>
      </c>
      <c r="M430" s="31">
        <v>1</v>
      </c>
      <c r="N430" s="11" t="s">
        <v>5</v>
      </c>
      <c r="O430" s="22">
        <v>120</v>
      </c>
      <c r="P430" s="1">
        <v>120</v>
      </c>
      <c r="R430" t="s">
        <v>40</v>
      </c>
    </row>
    <row r="431" spans="1:18" x14ac:dyDescent="0.25">
      <c r="A431" t="s">
        <v>581</v>
      </c>
      <c r="B431" t="s">
        <v>53</v>
      </c>
      <c r="C431" t="s">
        <v>48</v>
      </c>
      <c r="D431" s="1" t="s">
        <v>1101</v>
      </c>
      <c r="E431" t="s">
        <v>1621</v>
      </c>
      <c r="F431" t="s">
        <v>34</v>
      </c>
      <c r="G431" t="s">
        <v>12</v>
      </c>
      <c r="H431" t="s">
        <v>2141</v>
      </c>
      <c r="I431" t="s">
        <v>42</v>
      </c>
      <c r="J431" t="s">
        <v>2661</v>
      </c>
      <c r="K431" t="s">
        <v>5</v>
      </c>
      <c r="L431" s="22">
        <v>7</v>
      </c>
      <c r="M431" s="30">
        <v>0.5</v>
      </c>
      <c r="N431" s="11" t="s">
        <v>6</v>
      </c>
      <c r="O431" s="1">
        <v>62</v>
      </c>
      <c r="P431" s="1">
        <v>31</v>
      </c>
    </row>
    <row r="432" spans="1:18" x14ac:dyDescent="0.25">
      <c r="A432" t="s">
        <v>582</v>
      </c>
      <c r="B432" t="s">
        <v>60</v>
      </c>
      <c r="C432" t="s">
        <v>37</v>
      </c>
      <c r="D432" s="1" t="s">
        <v>1102</v>
      </c>
      <c r="E432" t="s">
        <v>1622</v>
      </c>
      <c r="F432" t="s">
        <v>75</v>
      </c>
      <c r="G432" t="s">
        <v>8</v>
      </c>
      <c r="H432" t="s">
        <v>2142</v>
      </c>
      <c r="I432" t="s">
        <v>61</v>
      </c>
      <c r="J432" t="s">
        <v>2662</v>
      </c>
      <c r="K432" t="s">
        <v>5</v>
      </c>
      <c r="L432" s="22">
        <v>7</v>
      </c>
      <c r="M432" s="31">
        <v>1</v>
      </c>
      <c r="N432" s="11" t="s">
        <v>5</v>
      </c>
      <c r="O432" s="22">
        <v>70</v>
      </c>
      <c r="P432" s="1">
        <v>70</v>
      </c>
      <c r="R432" t="s">
        <v>40</v>
      </c>
    </row>
    <row r="433" spans="1:18" x14ac:dyDescent="0.25">
      <c r="A433" t="s">
        <v>583</v>
      </c>
      <c r="B433" t="s">
        <v>62</v>
      </c>
      <c r="C433" t="s">
        <v>63</v>
      </c>
      <c r="D433" s="1" t="s">
        <v>1103</v>
      </c>
      <c r="E433" t="s">
        <v>1623</v>
      </c>
      <c r="F433" t="s">
        <v>87</v>
      </c>
      <c r="G433" t="s">
        <v>12</v>
      </c>
      <c r="H433" t="s">
        <v>2143</v>
      </c>
      <c r="I433" t="s">
        <v>42</v>
      </c>
      <c r="J433" t="s">
        <v>2663</v>
      </c>
      <c r="K433" t="s">
        <v>5</v>
      </c>
      <c r="L433" s="22">
        <v>5</v>
      </c>
      <c r="M433" s="30">
        <v>0.66129032258064513</v>
      </c>
      <c r="N433" s="11" t="s">
        <v>6</v>
      </c>
      <c r="O433" s="22">
        <v>62</v>
      </c>
      <c r="P433" s="1">
        <v>41</v>
      </c>
      <c r="R433" t="s">
        <v>40</v>
      </c>
    </row>
    <row r="434" spans="1:18" x14ac:dyDescent="0.25">
      <c r="A434" t="s">
        <v>584</v>
      </c>
      <c r="B434" t="s">
        <v>32</v>
      </c>
      <c r="C434" t="s">
        <v>33</v>
      </c>
      <c r="D434" s="1" t="s">
        <v>1104</v>
      </c>
      <c r="E434" t="s">
        <v>1624</v>
      </c>
      <c r="F434" t="s">
        <v>49</v>
      </c>
      <c r="G434" t="s">
        <v>12</v>
      </c>
      <c r="H434" t="s">
        <v>2144</v>
      </c>
      <c r="I434" t="s">
        <v>35</v>
      </c>
      <c r="J434" t="s">
        <v>2664</v>
      </c>
      <c r="K434" t="s">
        <v>5</v>
      </c>
      <c r="L434" s="22">
        <v>5</v>
      </c>
      <c r="M434" s="30">
        <v>0.51315789473684215</v>
      </c>
      <c r="N434" s="11" t="s">
        <v>6</v>
      </c>
      <c r="O434" s="22">
        <v>76</v>
      </c>
      <c r="P434" s="1">
        <v>39</v>
      </c>
      <c r="R434" t="s">
        <v>40</v>
      </c>
    </row>
    <row r="435" spans="1:18" x14ac:dyDescent="0.25">
      <c r="A435" t="s">
        <v>585</v>
      </c>
      <c r="B435" t="s">
        <v>146</v>
      </c>
      <c r="C435" t="s">
        <v>63</v>
      </c>
      <c r="D435" s="1" t="s">
        <v>1105</v>
      </c>
      <c r="E435" t="s">
        <v>1625</v>
      </c>
      <c r="F435" t="s">
        <v>49</v>
      </c>
      <c r="G435" t="s">
        <v>12</v>
      </c>
      <c r="H435" t="s">
        <v>2145</v>
      </c>
      <c r="I435" t="s">
        <v>103</v>
      </c>
      <c r="J435" t="s">
        <v>2665</v>
      </c>
      <c r="K435" t="s">
        <v>5</v>
      </c>
      <c r="L435" s="22">
        <v>7</v>
      </c>
      <c r="M435" s="30">
        <v>0.5</v>
      </c>
      <c r="N435" s="11" t="s">
        <v>6</v>
      </c>
      <c r="O435" s="1">
        <v>84</v>
      </c>
      <c r="P435" s="1">
        <v>42</v>
      </c>
    </row>
    <row r="436" spans="1:18" x14ac:dyDescent="0.25">
      <c r="A436" t="s">
        <v>586</v>
      </c>
      <c r="B436" t="s">
        <v>147</v>
      </c>
      <c r="C436" t="s">
        <v>85</v>
      </c>
      <c r="D436" s="1" t="s">
        <v>1106</v>
      </c>
      <c r="E436" t="s">
        <v>1626</v>
      </c>
      <c r="F436" t="s">
        <v>75</v>
      </c>
      <c r="G436" t="s">
        <v>11</v>
      </c>
      <c r="H436" t="s">
        <v>2146</v>
      </c>
      <c r="I436" t="s">
        <v>46</v>
      </c>
      <c r="J436" t="s">
        <v>2666</v>
      </c>
      <c r="K436" t="s">
        <v>5</v>
      </c>
      <c r="L436" s="22">
        <v>7</v>
      </c>
      <c r="M436" s="30">
        <v>1</v>
      </c>
      <c r="N436" s="11" t="s">
        <v>5</v>
      </c>
      <c r="O436" s="22">
        <v>78</v>
      </c>
      <c r="P436" s="1">
        <v>78</v>
      </c>
      <c r="R436" t="s">
        <v>40</v>
      </c>
    </row>
    <row r="437" spans="1:18" x14ac:dyDescent="0.25">
      <c r="A437" t="s">
        <v>587</v>
      </c>
      <c r="B437" t="s">
        <v>32</v>
      </c>
      <c r="C437" t="s">
        <v>33</v>
      </c>
      <c r="D437" s="1" t="s">
        <v>1107</v>
      </c>
      <c r="E437" t="s">
        <v>1627</v>
      </c>
      <c r="F437" t="s">
        <v>120</v>
      </c>
      <c r="G437" t="s">
        <v>12</v>
      </c>
      <c r="H437" t="s">
        <v>2147</v>
      </c>
      <c r="I437" t="s">
        <v>52</v>
      </c>
      <c r="J437" t="s">
        <v>2667</v>
      </c>
      <c r="K437" t="s">
        <v>5</v>
      </c>
      <c r="L437" s="22">
        <v>4</v>
      </c>
      <c r="M437" s="31">
        <v>0.64</v>
      </c>
      <c r="N437" s="11" t="s">
        <v>6</v>
      </c>
      <c r="O437" s="22">
        <v>75</v>
      </c>
      <c r="P437" s="1">
        <v>48</v>
      </c>
      <c r="R437" t="s">
        <v>40</v>
      </c>
    </row>
    <row r="438" spans="1:18" x14ac:dyDescent="0.25">
      <c r="A438" t="s">
        <v>588</v>
      </c>
      <c r="B438" t="s">
        <v>67</v>
      </c>
      <c r="C438" t="s">
        <v>48</v>
      </c>
      <c r="D438" s="1" t="s">
        <v>1108</v>
      </c>
      <c r="E438" t="s">
        <v>1628</v>
      </c>
      <c r="F438" t="s">
        <v>82</v>
      </c>
      <c r="G438" t="s">
        <v>12</v>
      </c>
      <c r="H438" t="s">
        <v>2148</v>
      </c>
      <c r="I438" t="s">
        <v>42</v>
      </c>
      <c r="J438" t="s">
        <v>2668</v>
      </c>
      <c r="K438" t="s">
        <v>5</v>
      </c>
      <c r="L438" s="22">
        <v>9</v>
      </c>
      <c r="M438" s="31">
        <v>1</v>
      </c>
      <c r="N438" s="11" t="s">
        <v>5</v>
      </c>
      <c r="O438" s="22">
        <v>106</v>
      </c>
      <c r="P438" s="1">
        <v>106</v>
      </c>
      <c r="R438" t="s">
        <v>40</v>
      </c>
    </row>
    <row r="439" spans="1:18" x14ac:dyDescent="0.25">
      <c r="A439" t="s">
        <v>589</v>
      </c>
      <c r="B439" t="s">
        <v>62</v>
      </c>
      <c r="C439" t="s">
        <v>63</v>
      </c>
      <c r="D439" s="1" t="s">
        <v>1109</v>
      </c>
      <c r="E439" t="s">
        <v>1629</v>
      </c>
      <c r="F439" t="s">
        <v>49</v>
      </c>
      <c r="G439" t="s">
        <v>12</v>
      </c>
      <c r="H439" t="s">
        <v>2149</v>
      </c>
      <c r="I439" t="s">
        <v>50</v>
      </c>
      <c r="J439" t="s">
        <v>2669</v>
      </c>
      <c r="K439" t="s">
        <v>5</v>
      </c>
      <c r="L439" s="22">
        <v>6</v>
      </c>
      <c r="M439" s="30">
        <v>1</v>
      </c>
      <c r="N439" s="11" t="s">
        <v>5</v>
      </c>
      <c r="O439" s="1">
        <v>94</v>
      </c>
      <c r="P439" s="1">
        <v>94</v>
      </c>
      <c r="R439" t="s">
        <v>40</v>
      </c>
    </row>
    <row r="440" spans="1:18" x14ac:dyDescent="0.25">
      <c r="A440" t="s">
        <v>590</v>
      </c>
      <c r="B440" t="s">
        <v>47</v>
      </c>
      <c r="C440" t="s">
        <v>48</v>
      </c>
      <c r="D440" s="1" t="s">
        <v>1110</v>
      </c>
      <c r="E440" t="s">
        <v>1630</v>
      </c>
      <c r="F440" t="s">
        <v>34</v>
      </c>
      <c r="G440" t="s">
        <v>12</v>
      </c>
      <c r="H440" t="s">
        <v>2150</v>
      </c>
      <c r="I440" t="s">
        <v>35</v>
      </c>
      <c r="J440" t="s">
        <v>2670</v>
      </c>
      <c r="K440" t="s">
        <v>5</v>
      </c>
      <c r="L440" s="22">
        <v>7</v>
      </c>
      <c r="M440" s="30">
        <v>0.54761904761904767</v>
      </c>
      <c r="N440" s="11" t="s">
        <v>6</v>
      </c>
      <c r="O440" s="1">
        <v>84</v>
      </c>
      <c r="P440" s="1">
        <v>46</v>
      </c>
    </row>
    <row r="441" spans="1:18" x14ac:dyDescent="0.25">
      <c r="A441" t="s">
        <v>591</v>
      </c>
      <c r="B441" t="s">
        <v>53</v>
      </c>
      <c r="C441" t="s">
        <v>48</v>
      </c>
      <c r="D441" s="1" t="s">
        <v>1111</v>
      </c>
      <c r="E441" t="s">
        <v>1631</v>
      </c>
      <c r="F441" t="s">
        <v>75</v>
      </c>
      <c r="G441" t="s">
        <v>12</v>
      </c>
      <c r="H441" t="s">
        <v>2151</v>
      </c>
      <c r="I441" t="s">
        <v>50</v>
      </c>
      <c r="J441" t="s">
        <v>2671</v>
      </c>
      <c r="K441" t="s">
        <v>5</v>
      </c>
      <c r="L441" s="22">
        <v>7</v>
      </c>
      <c r="M441" s="30">
        <v>1</v>
      </c>
      <c r="N441" s="11" t="s">
        <v>5</v>
      </c>
      <c r="O441" s="1">
        <v>62</v>
      </c>
      <c r="P441" s="1">
        <v>62</v>
      </c>
    </row>
    <row r="442" spans="1:18" x14ac:dyDescent="0.25">
      <c r="A442" t="s">
        <v>592</v>
      </c>
      <c r="B442" t="s">
        <v>53</v>
      </c>
      <c r="C442" t="s">
        <v>48</v>
      </c>
      <c r="D442" s="1" t="s">
        <v>1112</v>
      </c>
      <c r="E442" t="s">
        <v>1632</v>
      </c>
      <c r="F442" t="s">
        <v>43</v>
      </c>
      <c r="G442" t="s">
        <v>12</v>
      </c>
      <c r="H442" t="s">
        <v>2152</v>
      </c>
      <c r="I442" t="s">
        <v>72</v>
      </c>
      <c r="J442" t="s">
        <v>2672</v>
      </c>
      <c r="K442" t="s">
        <v>5</v>
      </c>
      <c r="L442" s="22">
        <v>9</v>
      </c>
      <c r="M442" s="31">
        <v>0.7857142857142857</v>
      </c>
      <c r="N442" s="11" t="s">
        <v>6</v>
      </c>
      <c r="O442" s="22">
        <v>84</v>
      </c>
      <c r="P442" s="1">
        <v>66</v>
      </c>
      <c r="R442" t="s">
        <v>40</v>
      </c>
    </row>
    <row r="443" spans="1:18" x14ac:dyDescent="0.25">
      <c r="A443" t="s">
        <v>593</v>
      </c>
      <c r="B443" t="s">
        <v>53</v>
      </c>
      <c r="C443" t="s">
        <v>48</v>
      </c>
      <c r="D443" s="1" t="s">
        <v>1113</v>
      </c>
      <c r="E443" t="s">
        <v>1633</v>
      </c>
      <c r="F443" t="s">
        <v>49</v>
      </c>
      <c r="G443" t="s">
        <v>12</v>
      </c>
      <c r="H443" t="s">
        <v>2153</v>
      </c>
      <c r="I443" t="s">
        <v>103</v>
      </c>
      <c r="J443" t="s">
        <v>2673</v>
      </c>
      <c r="K443" t="s">
        <v>5</v>
      </c>
      <c r="L443" s="22">
        <v>7</v>
      </c>
      <c r="M443" s="31">
        <v>0.30303030303030304</v>
      </c>
      <c r="N443" s="11" t="s">
        <v>6</v>
      </c>
      <c r="O443" s="1">
        <v>66</v>
      </c>
      <c r="P443" s="1">
        <v>20</v>
      </c>
      <c r="Q443" t="s">
        <v>44</v>
      </c>
      <c r="R443" t="s">
        <v>40</v>
      </c>
    </row>
    <row r="444" spans="1:18" x14ac:dyDescent="0.25">
      <c r="A444" t="s">
        <v>594</v>
      </c>
      <c r="B444" t="s">
        <v>53</v>
      </c>
      <c r="C444" t="s">
        <v>48</v>
      </c>
      <c r="D444" s="1" t="s">
        <v>1114</v>
      </c>
      <c r="E444" t="s">
        <v>1634</v>
      </c>
      <c r="F444" t="s">
        <v>34</v>
      </c>
      <c r="G444" t="s">
        <v>12</v>
      </c>
      <c r="H444" t="s">
        <v>2154</v>
      </c>
      <c r="I444" t="s">
        <v>35</v>
      </c>
      <c r="J444" t="s">
        <v>2674</v>
      </c>
      <c r="K444" t="s">
        <v>5</v>
      </c>
      <c r="L444" s="22">
        <v>9</v>
      </c>
      <c r="M444" s="30">
        <v>1</v>
      </c>
      <c r="N444" s="11" t="s">
        <v>5</v>
      </c>
      <c r="O444" s="1">
        <v>70</v>
      </c>
      <c r="P444" s="1">
        <v>70</v>
      </c>
    </row>
    <row r="445" spans="1:18" x14ac:dyDescent="0.25">
      <c r="A445" t="s">
        <v>595</v>
      </c>
      <c r="B445" t="s">
        <v>62</v>
      </c>
      <c r="C445" t="s">
        <v>63</v>
      </c>
      <c r="D445" s="1" t="s">
        <v>1115</v>
      </c>
      <c r="E445" t="s">
        <v>1635</v>
      </c>
      <c r="F445" t="s">
        <v>34</v>
      </c>
      <c r="G445" t="s">
        <v>9</v>
      </c>
      <c r="H445" t="s">
        <v>2155</v>
      </c>
      <c r="I445" t="s">
        <v>86</v>
      </c>
      <c r="J445" t="s">
        <v>2675</v>
      </c>
      <c r="K445" t="s">
        <v>5</v>
      </c>
      <c r="L445" s="22">
        <v>7</v>
      </c>
      <c r="M445" s="31">
        <v>0.46341463414634149</v>
      </c>
      <c r="N445" s="11" t="s">
        <v>6</v>
      </c>
      <c r="O445" s="22">
        <v>82</v>
      </c>
      <c r="P445" s="1">
        <v>38</v>
      </c>
      <c r="R445" t="s">
        <v>40</v>
      </c>
    </row>
    <row r="446" spans="1:18" x14ac:dyDescent="0.25">
      <c r="A446" t="s">
        <v>596</v>
      </c>
      <c r="B446" t="s">
        <v>53</v>
      </c>
      <c r="C446" t="s">
        <v>48</v>
      </c>
      <c r="D446" s="1" t="s">
        <v>1116</v>
      </c>
      <c r="E446" t="s">
        <v>1636</v>
      </c>
      <c r="F446" t="s">
        <v>34</v>
      </c>
      <c r="G446" t="s">
        <v>11</v>
      </c>
      <c r="H446" t="s">
        <v>2156</v>
      </c>
      <c r="I446" t="s">
        <v>46</v>
      </c>
      <c r="J446" t="s">
        <v>2676</v>
      </c>
      <c r="K446" t="s">
        <v>5</v>
      </c>
      <c r="L446" s="22">
        <v>7</v>
      </c>
      <c r="M446" s="30">
        <v>0.734375</v>
      </c>
      <c r="N446" s="11" t="s">
        <v>6</v>
      </c>
      <c r="O446" s="22">
        <v>64</v>
      </c>
      <c r="P446" s="1">
        <v>47</v>
      </c>
      <c r="R446" t="s">
        <v>40</v>
      </c>
    </row>
    <row r="447" spans="1:18" x14ac:dyDescent="0.25">
      <c r="A447" t="s">
        <v>597</v>
      </c>
      <c r="B447" t="s">
        <v>88</v>
      </c>
      <c r="C447" t="s">
        <v>48</v>
      </c>
      <c r="D447" s="1" t="s">
        <v>1117</v>
      </c>
      <c r="E447" t="s">
        <v>1637</v>
      </c>
      <c r="F447" t="s">
        <v>75</v>
      </c>
      <c r="G447" t="s">
        <v>12</v>
      </c>
      <c r="H447" t="s">
        <v>2157</v>
      </c>
      <c r="I447" t="s">
        <v>42</v>
      </c>
      <c r="J447" t="s">
        <v>2677</v>
      </c>
      <c r="K447" t="s">
        <v>5</v>
      </c>
      <c r="L447" s="22">
        <v>9</v>
      </c>
      <c r="M447" s="30">
        <v>0.5</v>
      </c>
      <c r="N447" s="11" t="s">
        <v>6</v>
      </c>
      <c r="O447" s="1">
        <v>120</v>
      </c>
      <c r="P447" s="1">
        <v>60</v>
      </c>
    </row>
    <row r="448" spans="1:18" x14ac:dyDescent="0.25">
      <c r="A448" t="s">
        <v>598</v>
      </c>
      <c r="B448" t="s">
        <v>67</v>
      </c>
      <c r="C448" t="s">
        <v>48</v>
      </c>
      <c r="D448" s="1" t="s">
        <v>1118</v>
      </c>
      <c r="E448" t="s">
        <v>1638</v>
      </c>
      <c r="F448" t="s">
        <v>113</v>
      </c>
      <c r="G448" t="s">
        <v>12</v>
      </c>
      <c r="H448" t="s">
        <v>2158</v>
      </c>
      <c r="I448" t="s">
        <v>35</v>
      </c>
      <c r="J448" t="s">
        <v>2678</v>
      </c>
      <c r="K448" t="s">
        <v>5</v>
      </c>
      <c r="L448" s="22">
        <v>9</v>
      </c>
      <c r="M448" s="31">
        <v>1</v>
      </c>
      <c r="N448" s="11" t="s">
        <v>5</v>
      </c>
      <c r="O448" s="22">
        <v>70</v>
      </c>
      <c r="P448" s="1">
        <v>70</v>
      </c>
      <c r="R448" t="s">
        <v>40</v>
      </c>
    </row>
    <row r="449" spans="1:18" x14ac:dyDescent="0.25">
      <c r="A449" t="s">
        <v>599</v>
      </c>
      <c r="B449" t="s">
        <v>88</v>
      </c>
      <c r="C449" t="s">
        <v>48</v>
      </c>
      <c r="D449" s="1" t="s">
        <v>1119</v>
      </c>
      <c r="E449" t="s">
        <v>1639</v>
      </c>
      <c r="F449" t="s">
        <v>49</v>
      </c>
      <c r="G449" t="s">
        <v>12</v>
      </c>
      <c r="H449" t="s">
        <v>2159</v>
      </c>
      <c r="I449" t="s">
        <v>42</v>
      </c>
      <c r="J449" t="s">
        <v>2679</v>
      </c>
      <c r="K449" t="s">
        <v>5</v>
      </c>
      <c r="L449" s="22">
        <v>7</v>
      </c>
      <c r="M449" s="30">
        <v>1</v>
      </c>
      <c r="N449" s="23" t="s">
        <v>5</v>
      </c>
      <c r="O449" s="22">
        <v>50</v>
      </c>
      <c r="P449" s="1">
        <v>50</v>
      </c>
      <c r="Q449" t="s">
        <v>44</v>
      </c>
      <c r="R449" t="s">
        <v>40</v>
      </c>
    </row>
    <row r="450" spans="1:18" x14ac:dyDescent="0.25">
      <c r="A450" t="s">
        <v>600</v>
      </c>
      <c r="B450" t="s">
        <v>45</v>
      </c>
      <c r="C450" t="s">
        <v>37</v>
      </c>
      <c r="D450" s="1" t="s">
        <v>1120</v>
      </c>
      <c r="E450" t="s">
        <v>1640</v>
      </c>
      <c r="F450" t="s">
        <v>34</v>
      </c>
      <c r="G450" t="s">
        <v>11</v>
      </c>
      <c r="H450" t="s">
        <v>2160</v>
      </c>
      <c r="I450" t="s">
        <v>108</v>
      </c>
      <c r="J450" t="s">
        <v>2680</v>
      </c>
      <c r="K450" t="s">
        <v>5</v>
      </c>
      <c r="L450" s="22">
        <v>7</v>
      </c>
      <c r="M450" s="30">
        <v>1</v>
      </c>
      <c r="N450" s="11" t="s">
        <v>5</v>
      </c>
      <c r="O450" s="1">
        <v>64</v>
      </c>
      <c r="P450" s="1">
        <v>64</v>
      </c>
      <c r="R450" t="s">
        <v>40</v>
      </c>
    </row>
    <row r="451" spans="1:18" x14ac:dyDescent="0.25">
      <c r="A451" t="s">
        <v>601</v>
      </c>
      <c r="B451" t="s">
        <v>53</v>
      </c>
      <c r="C451" t="s">
        <v>48</v>
      </c>
      <c r="D451" s="1" t="s">
        <v>1121</v>
      </c>
      <c r="E451" t="s">
        <v>1641</v>
      </c>
      <c r="F451" t="s">
        <v>89</v>
      </c>
      <c r="G451" t="s">
        <v>12</v>
      </c>
      <c r="H451" t="s">
        <v>2161</v>
      </c>
      <c r="I451" t="s">
        <v>35</v>
      </c>
      <c r="J451" t="s">
        <v>2681</v>
      </c>
      <c r="K451" t="s">
        <v>5</v>
      </c>
      <c r="L451" s="22">
        <v>9</v>
      </c>
      <c r="M451" s="31">
        <v>1</v>
      </c>
      <c r="N451" s="11" t="s">
        <v>5</v>
      </c>
      <c r="O451" s="1">
        <v>107</v>
      </c>
      <c r="P451" s="1">
        <v>107</v>
      </c>
      <c r="Q451" t="s">
        <v>44</v>
      </c>
      <c r="R451" t="s">
        <v>40</v>
      </c>
    </row>
    <row r="452" spans="1:18" x14ac:dyDescent="0.25">
      <c r="A452" t="s">
        <v>602</v>
      </c>
      <c r="B452" t="s">
        <v>62</v>
      </c>
      <c r="C452" t="s">
        <v>63</v>
      </c>
      <c r="D452" s="1" t="s">
        <v>1122</v>
      </c>
      <c r="E452" t="s">
        <v>1642</v>
      </c>
      <c r="F452" t="s">
        <v>34</v>
      </c>
      <c r="G452" t="s">
        <v>12</v>
      </c>
      <c r="H452" t="s">
        <v>2162</v>
      </c>
      <c r="I452" t="s">
        <v>72</v>
      </c>
      <c r="J452" t="s">
        <v>2682</v>
      </c>
      <c r="K452" t="s">
        <v>5</v>
      </c>
      <c r="L452" s="22">
        <v>7</v>
      </c>
      <c r="M452" s="30">
        <v>1</v>
      </c>
      <c r="N452" s="11" t="s">
        <v>5</v>
      </c>
      <c r="O452" s="1">
        <v>66</v>
      </c>
      <c r="P452" s="1">
        <v>66</v>
      </c>
      <c r="R452" t="s">
        <v>40</v>
      </c>
    </row>
    <row r="453" spans="1:18" x14ac:dyDescent="0.25">
      <c r="A453" t="s">
        <v>603</v>
      </c>
      <c r="B453" t="s">
        <v>115</v>
      </c>
      <c r="C453" t="s">
        <v>63</v>
      </c>
      <c r="D453" s="1" t="s">
        <v>1123</v>
      </c>
      <c r="E453" t="s">
        <v>1643</v>
      </c>
      <c r="F453" t="s">
        <v>34</v>
      </c>
      <c r="G453" t="s">
        <v>8</v>
      </c>
      <c r="H453" t="s">
        <v>2163</v>
      </c>
      <c r="I453" t="s">
        <v>61</v>
      </c>
      <c r="J453" t="s">
        <v>2683</v>
      </c>
      <c r="K453" t="s">
        <v>5</v>
      </c>
      <c r="L453" s="22">
        <v>7</v>
      </c>
      <c r="M453" s="31">
        <v>1</v>
      </c>
      <c r="N453" s="11" t="s">
        <v>5</v>
      </c>
      <c r="O453" s="22">
        <v>74</v>
      </c>
      <c r="P453" s="1">
        <v>74</v>
      </c>
      <c r="R453" t="s">
        <v>40</v>
      </c>
    </row>
    <row r="454" spans="1:18" x14ac:dyDescent="0.25">
      <c r="A454" t="s">
        <v>604</v>
      </c>
      <c r="B454" t="s">
        <v>51</v>
      </c>
      <c r="C454" t="s">
        <v>37</v>
      </c>
      <c r="D454" s="1" t="s">
        <v>1124</v>
      </c>
      <c r="E454" t="s">
        <v>1644</v>
      </c>
      <c r="F454" t="s">
        <v>120</v>
      </c>
      <c r="G454" t="s">
        <v>12</v>
      </c>
      <c r="H454" t="s">
        <v>2164</v>
      </c>
      <c r="I454" t="s">
        <v>121</v>
      </c>
      <c r="J454" t="s">
        <v>2684</v>
      </c>
      <c r="K454" t="s">
        <v>5</v>
      </c>
      <c r="L454" s="22">
        <v>7</v>
      </c>
      <c r="M454" s="30">
        <v>1</v>
      </c>
      <c r="N454" s="11" t="s">
        <v>5</v>
      </c>
      <c r="O454" s="1">
        <v>78</v>
      </c>
      <c r="P454" s="1">
        <v>78</v>
      </c>
    </row>
    <row r="455" spans="1:18" x14ac:dyDescent="0.25">
      <c r="A455" t="s">
        <v>605</v>
      </c>
      <c r="B455" t="s">
        <v>51</v>
      </c>
      <c r="C455" t="s">
        <v>37</v>
      </c>
      <c r="D455" s="1" t="s">
        <v>1125</v>
      </c>
      <c r="E455" t="s">
        <v>1645</v>
      </c>
      <c r="F455" t="s">
        <v>75</v>
      </c>
      <c r="G455" t="s">
        <v>12</v>
      </c>
      <c r="H455" t="s">
        <v>2165</v>
      </c>
      <c r="I455" t="s">
        <v>50</v>
      </c>
      <c r="J455" t="s">
        <v>2685</v>
      </c>
      <c r="K455" t="s">
        <v>5</v>
      </c>
      <c r="L455" s="22">
        <v>9</v>
      </c>
      <c r="M455" s="30">
        <v>1</v>
      </c>
      <c r="N455" s="11" t="s">
        <v>5</v>
      </c>
      <c r="O455" s="1">
        <v>70</v>
      </c>
      <c r="P455" s="1">
        <v>70</v>
      </c>
    </row>
    <row r="456" spans="1:18" x14ac:dyDescent="0.25">
      <c r="A456" t="s">
        <v>606</v>
      </c>
      <c r="B456" t="s">
        <v>51</v>
      </c>
      <c r="C456" t="s">
        <v>37</v>
      </c>
      <c r="D456" s="1" t="s">
        <v>1126</v>
      </c>
      <c r="E456" t="s">
        <v>1646</v>
      </c>
      <c r="F456" t="s">
        <v>43</v>
      </c>
      <c r="G456" t="s">
        <v>12</v>
      </c>
      <c r="H456" t="s">
        <v>2166</v>
      </c>
      <c r="I456" t="s">
        <v>72</v>
      </c>
      <c r="J456" t="s">
        <v>2686</v>
      </c>
      <c r="K456" t="s">
        <v>5</v>
      </c>
      <c r="L456" s="22">
        <v>9</v>
      </c>
      <c r="M456" s="31">
        <v>1</v>
      </c>
      <c r="N456" s="11" t="s">
        <v>5</v>
      </c>
      <c r="O456" s="22">
        <v>78</v>
      </c>
      <c r="P456" s="1">
        <v>78</v>
      </c>
      <c r="R456" t="s">
        <v>40</v>
      </c>
    </row>
    <row r="457" spans="1:18" x14ac:dyDescent="0.25">
      <c r="A457" t="s">
        <v>607</v>
      </c>
      <c r="B457" t="s">
        <v>53</v>
      </c>
      <c r="C457" t="s">
        <v>48</v>
      </c>
      <c r="D457" s="1" t="s">
        <v>1127</v>
      </c>
      <c r="E457" t="s">
        <v>1647</v>
      </c>
      <c r="F457" t="s">
        <v>70</v>
      </c>
      <c r="G457" t="s">
        <v>12</v>
      </c>
      <c r="H457" t="s">
        <v>2167</v>
      </c>
      <c r="I457" t="s">
        <v>54</v>
      </c>
      <c r="J457" t="s">
        <v>2687</v>
      </c>
      <c r="K457" t="s">
        <v>5</v>
      </c>
      <c r="L457" s="22">
        <v>9</v>
      </c>
      <c r="M457" s="31">
        <v>1</v>
      </c>
      <c r="N457" s="11" t="s">
        <v>5</v>
      </c>
      <c r="O457" s="22">
        <v>114</v>
      </c>
      <c r="P457" s="1">
        <v>114</v>
      </c>
      <c r="R457" t="s">
        <v>40</v>
      </c>
    </row>
    <row r="458" spans="1:18" x14ac:dyDescent="0.25">
      <c r="A458" t="s">
        <v>608</v>
      </c>
      <c r="B458" t="s">
        <v>83</v>
      </c>
      <c r="C458" t="s">
        <v>57</v>
      </c>
      <c r="D458" s="1" t="s">
        <v>1128</v>
      </c>
      <c r="E458" t="s">
        <v>1648</v>
      </c>
      <c r="F458" t="s">
        <v>34</v>
      </c>
      <c r="G458" t="s">
        <v>11</v>
      </c>
      <c r="H458" t="s">
        <v>2168</v>
      </c>
      <c r="I458" t="s">
        <v>81</v>
      </c>
      <c r="J458" t="s">
        <v>2688</v>
      </c>
      <c r="K458" t="s">
        <v>5</v>
      </c>
      <c r="L458" s="22">
        <v>7</v>
      </c>
      <c r="M458" s="30">
        <v>1</v>
      </c>
      <c r="N458" s="11" t="s">
        <v>5</v>
      </c>
      <c r="O458" s="1">
        <v>84</v>
      </c>
      <c r="P458" s="1">
        <v>84</v>
      </c>
    </row>
    <row r="459" spans="1:18" x14ac:dyDescent="0.25">
      <c r="A459" t="s">
        <v>609</v>
      </c>
      <c r="B459" t="s">
        <v>124</v>
      </c>
      <c r="C459" t="s">
        <v>37</v>
      </c>
      <c r="D459" s="1" t="s">
        <v>1129</v>
      </c>
      <c r="E459" t="s">
        <v>1649</v>
      </c>
      <c r="F459" t="s">
        <v>38</v>
      </c>
      <c r="G459" t="s">
        <v>8</v>
      </c>
      <c r="H459" t="s">
        <v>2169</v>
      </c>
      <c r="I459" t="s">
        <v>125</v>
      </c>
      <c r="J459" t="s">
        <v>2689</v>
      </c>
      <c r="K459" t="s">
        <v>5</v>
      </c>
      <c r="L459" s="22">
        <v>9</v>
      </c>
      <c r="M459" s="27">
        <v>0.79518072289156627</v>
      </c>
      <c r="N459" s="22" t="s">
        <v>6</v>
      </c>
      <c r="O459" s="22">
        <v>83</v>
      </c>
      <c r="P459" s="22">
        <v>66</v>
      </c>
      <c r="Q459" t="s">
        <v>44</v>
      </c>
      <c r="R459" t="s">
        <v>40</v>
      </c>
    </row>
    <row r="460" spans="1:18" x14ac:dyDescent="0.25">
      <c r="A460" t="s">
        <v>610</v>
      </c>
      <c r="B460" t="s">
        <v>53</v>
      </c>
      <c r="C460" t="s">
        <v>48</v>
      </c>
      <c r="D460" s="1" t="s">
        <v>1130</v>
      </c>
      <c r="E460" t="s">
        <v>1650</v>
      </c>
      <c r="F460" t="s">
        <v>75</v>
      </c>
      <c r="G460" t="s">
        <v>12</v>
      </c>
      <c r="H460" t="s">
        <v>2170</v>
      </c>
      <c r="I460" t="s">
        <v>42</v>
      </c>
      <c r="J460" t="s">
        <v>2690</v>
      </c>
      <c r="K460" t="s">
        <v>5</v>
      </c>
      <c r="L460" s="22">
        <v>9</v>
      </c>
      <c r="M460" s="30">
        <v>1</v>
      </c>
      <c r="N460" s="11" t="s">
        <v>5</v>
      </c>
      <c r="O460" s="1">
        <v>70</v>
      </c>
      <c r="P460" s="1">
        <v>70</v>
      </c>
    </row>
    <row r="461" spans="1:18" x14ac:dyDescent="0.25">
      <c r="A461" t="s">
        <v>611</v>
      </c>
      <c r="B461" t="s">
        <v>83</v>
      </c>
      <c r="C461" t="s">
        <v>57</v>
      </c>
      <c r="D461" s="1" t="s">
        <v>1131</v>
      </c>
      <c r="E461" t="s">
        <v>1651</v>
      </c>
      <c r="F461" t="s">
        <v>43</v>
      </c>
      <c r="G461" t="s">
        <v>11</v>
      </c>
      <c r="H461" t="s">
        <v>2171</v>
      </c>
      <c r="I461" t="s">
        <v>46</v>
      </c>
      <c r="J461" t="s">
        <v>2691</v>
      </c>
      <c r="K461" t="s">
        <v>5</v>
      </c>
      <c r="L461" s="22">
        <v>7</v>
      </c>
      <c r="M461" s="30">
        <v>1</v>
      </c>
      <c r="N461" s="11" t="s">
        <v>5</v>
      </c>
      <c r="O461" s="1">
        <v>74</v>
      </c>
      <c r="P461" s="1">
        <v>74</v>
      </c>
      <c r="R461" t="s">
        <v>40</v>
      </c>
    </row>
    <row r="462" spans="1:18" x14ac:dyDescent="0.25">
      <c r="A462" t="s">
        <v>612</v>
      </c>
      <c r="B462" t="s">
        <v>53</v>
      </c>
      <c r="C462" t="s">
        <v>48</v>
      </c>
      <c r="D462" s="1" t="s">
        <v>1132</v>
      </c>
      <c r="E462" t="s">
        <v>1652</v>
      </c>
      <c r="F462" t="s">
        <v>34</v>
      </c>
      <c r="G462" t="s">
        <v>12</v>
      </c>
      <c r="H462" t="s">
        <v>2172</v>
      </c>
      <c r="I462" t="s">
        <v>42</v>
      </c>
      <c r="J462" t="s">
        <v>2692</v>
      </c>
      <c r="K462" t="s">
        <v>5</v>
      </c>
      <c r="L462" s="22">
        <v>7</v>
      </c>
      <c r="M462" s="31">
        <v>1</v>
      </c>
      <c r="N462" s="11" t="s">
        <v>5</v>
      </c>
      <c r="O462" s="22">
        <v>62</v>
      </c>
      <c r="P462" s="1">
        <v>62</v>
      </c>
      <c r="R462" t="s">
        <v>40</v>
      </c>
    </row>
    <row r="463" spans="1:18" x14ac:dyDescent="0.25">
      <c r="A463" t="s">
        <v>613</v>
      </c>
      <c r="B463" t="s">
        <v>60</v>
      </c>
      <c r="C463" t="s">
        <v>37</v>
      </c>
      <c r="D463" s="1" t="s">
        <v>1133</v>
      </c>
      <c r="E463" t="s">
        <v>1653</v>
      </c>
      <c r="F463" t="s">
        <v>75</v>
      </c>
      <c r="G463" t="s">
        <v>8</v>
      </c>
      <c r="H463" t="s">
        <v>2173</v>
      </c>
      <c r="I463" t="s">
        <v>61</v>
      </c>
      <c r="J463" t="s">
        <v>2693</v>
      </c>
      <c r="K463" t="s">
        <v>5</v>
      </c>
      <c r="L463" s="22">
        <v>7</v>
      </c>
      <c r="M463" s="31">
        <v>1</v>
      </c>
      <c r="N463" s="11" t="s">
        <v>5</v>
      </c>
      <c r="O463" s="22">
        <v>52</v>
      </c>
      <c r="P463" s="1">
        <v>52</v>
      </c>
      <c r="R463" t="s">
        <v>40</v>
      </c>
    </row>
    <row r="464" spans="1:18" x14ac:dyDescent="0.25">
      <c r="A464" t="s">
        <v>614</v>
      </c>
      <c r="B464" t="s">
        <v>67</v>
      </c>
      <c r="C464" t="s">
        <v>48</v>
      </c>
      <c r="D464" s="1" t="s">
        <v>1134</v>
      </c>
      <c r="E464" t="s">
        <v>1654</v>
      </c>
      <c r="F464" t="s">
        <v>41</v>
      </c>
      <c r="G464" t="s">
        <v>12</v>
      </c>
      <c r="H464" t="s">
        <v>2174</v>
      </c>
      <c r="I464" t="s">
        <v>42</v>
      </c>
      <c r="J464" t="s">
        <v>2694</v>
      </c>
      <c r="K464" t="s">
        <v>5</v>
      </c>
      <c r="L464" s="22">
        <v>9</v>
      </c>
      <c r="M464" s="30">
        <v>0.41860465116279072</v>
      </c>
      <c r="N464" s="11" t="s">
        <v>6</v>
      </c>
      <c r="O464" s="1">
        <v>86</v>
      </c>
      <c r="P464" s="1">
        <v>36</v>
      </c>
      <c r="R464" t="s">
        <v>40</v>
      </c>
    </row>
    <row r="465" spans="1:18" x14ac:dyDescent="0.25">
      <c r="A465" t="s">
        <v>615</v>
      </c>
      <c r="B465" t="s">
        <v>60</v>
      </c>
      <c r="C465" t="s">
        <v>37</v>
      </c>
      <c r="D465" s="1" t="s">
        <v>1135</v>
      </c>
      <c r="E465" t="s">
        <v>1655</v>
      </c>
      <c r="F465" t="s">
        <v>49</v>
      </c>
      <c r="G465" t="s">
        <v>8</v>
      </c>
      <c r="H465" t="s">
        <v>2175</v>
      </c>
      <c r="I465" t="s">
        <v>92</v>
      </c>
      <c r="J465" t="s">
        <v>2695</v>
      </c>
      <c r="K465" t="s">
        <v>5</v>
      </c>
      <c r="L465" s="22">
        <v>9</v>
      </c>
      <c r="M465" s="31">
        <v>1</v>
      </c>
      <c r="N465" s="11" t="s">
        <v>5</v>
      </c>
      <c r="O465" s="22">
        <v>80</v>
      </c>
      <c r="P465" s="1">
        <v>80</v>
      </c>
      <c r="R465" t="s">
        <v>40</v>
      </c>
    </row>
    <row r="466" spans="1:18" x14ac:dyDescent="0.25">
      <c r="A466" t="s">
        <v>616</v>
      </c>
      <c r="B466" t="s">
        <v>47</v>
      </c>
      <c r="C466" t="s">
        <v>48</v>
      </c>
      <c r="D466" s="1" t="s">
        <v>1136</v>
      </c>
      <c r="E466" t="s">
        <v>1656</v>
      </c>
      <c r="F466" t="s">
        <v>43</v>
      </c>
      <c r="G466" t="s">
        <v>12</v>
      </c>
      <c r="H466" t="s">
        <v>2176</v>
      </c>
      <c r="I466" t="s">
        <v>35</v>
      </c>
      <c r="J466" t="s">
        <v>2696</v>
      </c>
      <c r="K466" t="s">
        <v>5</v>
      </c>
      <c r="L466" s="22">
        <v>9</v>
      </c>
      <c r="M466" s="31">
        <v>0.77380952380952384</v>
      </c>
      <c r="N466" s="11" t="s">
        <v>6</v>
      </c>
      <c r="O466" s="22">
        <v>84</v>
      </c>
      <c r="P466" s="1">
        <v>65</v>
      </c>
      <c r="R466" t="s">
        <v>40</v>
      </c>
    </row>
    <row r="467" spans="1:18" x14ac:dyDescent="0.25">
      <c r="A467" t="s">
        <v>617</v>
      </c>
      <c r="B467" t="s">
        <v>90</v>
      </c>
      <c r="C467" t="s">
        <v>91</v>
      </c>
      <c r="D467" s="1" t="s">
        <v>1137</v>
      </c>
      <c r="E467" t="s">
        <v>1657</v>
      </c>
      <c r="F467" t="s">
        <v>34</v>
      </c>
      <c r="G467" t="s">
        <v>12</v>
      </c>
      <c r="H467" t="s">
        <v>2177</v>
      </c>
      <c r="I467" t="s">
        <v>68</v>
      </c>
      <c r="J467" t="s">
        <v>2697</v>
      </c>
      <c r="K467" t="s">
        <v>5</v>
      </c>
      <c r="L467" s="22">
        <v>7</v>
      </c>
      <c r="M467" s="31">
        <v>1</v>
      </c>
      <c r="N467" s="11" t="s">
        <v>5</v>
      </c>
      <c r="O467" s="22">
        <v>66</v>
      </c>
      <c r="P467" s="1">
        <v>66</v>
      </c>
      <c r="R467" t="s">
        <v>40</v>
      </c>
    </row>
    <row r="468" spans="1:18" x14ac:dyDescent="0.25">
      <c r="A468" t="s">
        <v>618</v>
      </c>
      <c r="B468" t="s">
        <v>51</v>
      </c>
      <c r="C468" t="s">
        <v>37</v>
      </c>
      <c r="D468" s="1" t="s">
        <v>1138</v>
      </c>
      <c r="E468" t="s">
        <v>1658</v>
      </c>
      <c r="F468" t="s">
        <v>43</v>
      </c>
      <c r="G468" t="s">
        <v>12</v>
      </c>
      <c r="H468" t="s">
        <v>2178</v>
      </c>
      <c r="I468" t="s">
        <v>72</v>
      </c>
      <c r="J468" t="s">
        <v>2698</v>
      </c>
      <c r="K468" t="s">
        <v>5</v>
      </c>
      <c r="L468" s="22">
        <v>7</v>
      </c>
      <c r="M468" s="30">
        <v>1</v>
      </c>
      <c r="N468" s="11" t="s">
        <v>5</v>
      </c>
      <c r="O468" s="1">
        <v>66</v>
      </c>
      <c r="P468" s="1">
        <v>66</v>
      </c>
      <c r="R468" t="s">
        <v>40</v>
      </c>
    </row>
    <row r="469" spans="1:18" x14ac:dyDescent="0.25">
      <c r="A469" t="s">
        <v>619</v>
      </c>
      <c r="B469" t="s">
        <v>67</v>
      </c>
      <c r="C469" t="s">
        <v>48</v>
      </c>
      <c r="D469" s="1" t="s">
        <v>1139</v>
      </c>
      <c r="E469" t="s">
        <v>1659</v>
      </c>
      <c r="F469" t="s">
        <v>113</v>
      </c>
      <c r="G469" t="s">
        <v>12</v>
      </c>
      <c r="H469" t="s">
        <v>2179</v>
      </c>
      <c r="I469" t="s">
        <v>35</v>
      </c>
      <c r="J469" t="s">
        <v>2699</v>
      </c>
      <c r="K469" t="s">
        <v>5</v>
      </c>
      <c r="L469" s="22">
        <v>7</v>
      </c>
      <c r="M469" s="30">
        <v>1</v>
      </c>
      <c r="N469" s="11" t="s">
        <v>5</v>
      </c>
      <c r="O469" s="22">
        <v>64</v>
      </c>
      <c r="P469" s="1">
        <v>64</v>
      </c>
      <c r="R469" t="s">
        <v>40</v>
      </c>
    </row>
    <row r="470" spans="1:18" x14ac:dyDescent="0.25">
      <c r="A470" t="s">
        <v>620</v>
      </c>
      <c r="B470" t="s">
        <v>53</v>
      </c>
      <c r="C470" t="s">
        <v>48</v>
      </c>
      <c r="D470" s="1" t="s">
        <v>1140</v>
      </c>
      <c r="E470" t="s">
        <v>1660</v>
      </c>
      <c r="F470" t="s">
        <v>75</v>
      </c>
      <c r="G470" t="s">
        <v>12</v>
      </c>
      <c r="H470" t="s">
        <v>2180</v>
      </c>
      <c r="I470" t="s">
        <v>50</v>
      </c>
      <c r="J470" t="s">
        <v>2700</v>
      </c>
      <c r="K470" t="s">
        <v>5</v>
      </c>
      <c r="L470" s="22">
        <v>7</v>
      </c>
      <c r="M470" s="30">
        <v>1</v>
      </c>
      <c r="N470" s="11" t="s">
        <v>5</v>
      </c>
      <c r="O470" s="1">
        <v>52</v>
      </c>
      <c r="P470" s="1">
        <v>52</v>
      </c>
    </row>
    <row r="471" spans="1:18" x14ac:dyDescent="0.25">
      <c r="A471" t="s">
        <v>621</v>
      </c>
      <c r="B471" t="s">
        <v>88</v>
      </c>
      <c r="C471" t="s">
        <v>48</v>
      </c>
      <c r="D471" s="1" t="s">
        <v>1141</v>
      </c>
      <c r="E471" t="s">
        <v>1661</v>
      </c>
      <c r="F471" t="s">
        <v>69</v>
      </c>
      <c r="G471" t="s">
        <v>12</v>
      </c>
      <c r="H471" t="s">
        <v>2181</v>
      </c>
      <c r="I471" t="s">
        <v>35</v>
      </c>
      <c r="J471" t="s">
        <v>2701</v>
      </c>
      <c r="K471" t="s">
        <v>5</v>
      </c>
      <c r="L471" s="22">
        <v>9</v>
      </c>
      <c r="M471" s="30">
        <v>1</v>
      </c>
      <c r="N471" s="11" t="s">
        <v>5</v>
      </c>
      <c r="O471" s="1">
        <v>72</v>
      </c>
      <c r="P471" s="22">
        <v>72</v>
      </c>
      <c r="Q471" t="s">
        <v>44</v>
      </c>
      <c r="R471" t="s">
        <v>40</v>
      </c>
    </row>
    <row r="472" spans="1:18" x14ac:dyDescent="0.25">
      <c r="A472" t="s">
        <v>622</v>
      </c>
      <c r="B472" t="s">
        <v>67</v>
      </c>
      <c r="C472" t="s">
        <v>48</v>
      </c>
      <c r="D472" s="1" t="s">
        <v>1142</v>
      </c>
      <c r="E472" t="s">
        <v>1662</v>
      </c>
      <c r="F472" t="s">
        <v>34</v>
      </c>
      <c r="G472" t="s">
        <v>12</v>
      </c>
      <c r="H472" t="s">
        <v>2182</v>
      </c>
      <c r="I472" t="s">
        <v>59</v>
      </c>
      <c r="J472" t="s">
        <v>2702</v>
      </c>
      <c r="K472" t="s">
        <v>5</v>
      </c>
      <c r="L472" s="22">
        <v>7</v>
      </c>
      <c r="M472" s="30">
        <v>1</v>
      </c>
      <c r="N472" s="11" t="s">
        <v>5</v>
      </c>
      <c r="O472" s="1">
        <v>50</v>
      </c>
      <c r="P472" s="1">
        <v>50</v>
      </c>
    </row>
    <row r="473" spans="1:18" x14ac:dyDescent="0.25">
      <c r="A473" t="s">
        <v>623</v>
      </c>
      <c r="B473" t="s">
        <v>47</v>
      </c>
      <c r="C473" t="s">
        <v>48</v>
      </c>
      <c r="D473" s="1" t="s">
        <v>1143</v>
      </c>
      <c r="E473" t="s">
        <v>1663</v>
      </c>
      <c r="F473" t="s">
        <v>43</v>
      </c>
      <c r="G473" t="s">
        <v>12</v>
      </c>
      <c r="H473" t="s">
        <v>2183</v>
      </c>
      <c r="I473" t="s">
        <v>42</v>
      </c>
      <c r="J473" t="s">
        <v>2703</v>
      </c>
      <c r="K473" t="s">
        <v>5</v>
      </c>
      <c r="L473" s="22">
        <v>9</v>
      </c>
      <c r="M473" s="30">
        <v>1</v>
      </c>
      <c r="N473" s="11" t="s">
        <v>5</v>
      </c>
      <c r="O473" s="1">
        <v>106</v>
      </c>
      <c r="P473" s="1">
        <v>106</v>
      </c>
      <c r="R473" t="s">
        <v>40</v>
      </c>
    </row>
    <row r="474" spans="1:18" x14ac:dyDescent="0.25">
      <c r="A474" t="s">
        <v>624</v>
      </c>
      <c r="B474" t="s">
        <v>47</v>
      </c>
      <c r="C474" t="s">
        <v>48</v>
      </c>
      <c r="D474" s="1" t="s">
        <v>1144</v>
      </c>
      <c r="E474" t="s">
        <v>1664</v>
      </c>
      <c r="F474" t="s">
        <v>43</v>
      </c>
      <c r="G474" t="s">
        <v>12</v>
      </c>
      <c r="H474" t="s">
        <v>2184</v>
      </c>
      <c r="I474" t="s">
        <v>103</v>
      </c>
      <c r="J474" t="s">
        <v>2704</v>
      </c>
      <c r="K474" t="s">
        <v>5</v>
      </c>
      <c r="L474" s="22">
        <v>7</v>
      </c>
      <c r="M474" s="31">
        <v>0.83673469387755106</v>
      </c>
      <c r="N474" s="11" t="s">
        <v>6</v>
      </c>
      <c r="O474" s="22">
        <v>98</v>
      </c>
      <c r="P474" s="1">
        <v>82</v>
      </c>
      <c r="R474" t="s">
        <v>40</v>
      </c>
    </row>
    <row r="475" spans="1:18" x14ac:dyDescent="0.25">
      <c r="A475" t="s">
        <v>625</v>
      </c>
      <c r="B475" t="s">
        <v>148</v>
      </c>
      <c r="C475" t="s">
        <v>37</v>
      </c>
      <c r="D475" s="1" t="s">
        <v>1145</v>
      </c>
      <c r="E475" t="s">
        <v>1665</v>
      </c>
      <c r="F475" t="s">
        <v>38</v>
      </c>
      <c r="G475" t="s">
        <v>8</v>
      </c>
      <c r="H475" t="s">
        <v>2185</v>
      </c>
      <c r="I475" t="s">
        <v>125</v>
      </c>
      <c r="J475" t="s">
        <v>2705</v>
      </c>
      <c r="K475" t="s">
        <v>5</v>
      </c>
      <c r="L475" s="22">
        <v>7</v>
      </c>
      <c r="M475" s="30">
        <v>1</v>
      </c>
      <c r="N475" s="11" t="s">
        <v>5</v>
      </c>
      <c r="O475" s="1">
        <v>74</v>
      </c>
      <c r="P475" s="1">
        <v>74</v>
      </c>
    </row>
    <row r="476" spans="1:18" x14ac:dyDescent="0.25">
      <c r="A476" t="s">
        <v>626</v>
      </c>
      <c r="B476" t="s">
        <v>60</v>
      </c>
      <c r="C476" t="s">
        <v>37</v>
      </c>
      <c r="D476" s="1" t="s">
        <v>1146</v>
      </c>
      <c r="E476" t="s">
        <v>1666</v>
      </c>
      <c r="F476" t="s">
        <v>75</v>
      </c>
      <c r="G476" t="s">
        <v>8</v>
      </c>
      <c r="H476" t="s">
        <v>2186</v>
      </c>
      <c r="I476" t="s">
        <v>92</v>
      </c>
      <c r="J476" t="s">
        <v>2706</v>
      </c>
      <c r="K476" t="s">
        <v>5</v>
      </c>
      <c r="L476" s="22">
        <v>7</v>
      </c>
      <c r="M476" s="31">
        <v>0.1875</v>
      </c>
      <c r="N476" s="11" t="s">
        <v>6</v>
      </c>
      <c r="O476" s="22">
        <v>64</v>
      </c>
      <c r="P476" s="1">
        <v>12</v>
      </c>
      <c r="R476" t="s">
        <v>40</v>
      </c>
    </row>
    <row r="477" spans="1:18" x14ac:dyDescent="0.25">
      <c r="A477" t="s">
        <v>627</v>
      </c>
      <c r="B477" t="s">
        <v>51</v>
      </c>
      <c r="C477" t="s">
        <v>37</v>
      </c>
      <c r="D477" s="1" t="s">
        <v>1147</v>
      </c>
      <c r="E477" t="s">
        <v>1667</v>
      </c>
      <c r="F477" t="s">
        <v>43</v>
      </c>
      <c r="G477" t="s">
        <v>12</v>
      </c>
      <c r="H477" t="s">
        <v>2187</v>
      </c>
      <c r="I477" t="s">
        <v>103</v>
      </c>
      <c r="J477" t="s">
        <v>2707</v>
      </c>
      <c r="K477" t="s">
        <v>5</v>
      </c>
      <c r="L477" s="22">
        <v>9</v>
      </c>
      <c r="M477" s="30">
        <v>1</v>
      </c>
      <c r="N477" s="11" t="s">
        <v>5</v>
      </c>
      <c r="O477" s="22">
        <v>92</v>
      </c>
      <c r="P477" s="1">
        <v>92</v>
      </c>
      <c r="R477" t="s">
        <v>40</v>
      </c>
    </row>
    <row r="478" spans="1:18" x14ac:dyDescent="0.25">
      <c r="A478" t="s">
        <v>628</v>
      </c>
      <c r="B478" t="s">
        <v>51</v>
      </c>
      <c r="C478" t="s">
        <v>37</v>
      </c>
      <c r="D478" s="1" t="s">
        <v>1148</v>
      </c>
      <c r="E478" t="s">
        <v>1668</v>
      </c>
      <c r="F478" t="s">
        <v>43</v>
      </c>
      <c r="G478" t="s">
        <v>12</v>
      </c>
      <c r="H478" t="s">
        <v>2188</v>
      </c>
      <c r="I478" t="s">
        <v>42</v>
      </c>
      <c r="J478" t="s">
        <v>2708</v>
      </c>
      <c r="K478" t="s">
        <v>5</v>
      </c>
      <c r="L478" s="22">
        <v>9</v>
      </c>
      <c r="M478" s="31">
        <v>0.65957446808510634</v>
      </c>
      <c r="N478" s="11" t="s">
        <v>6</v>
      </c>
      <c r="O478" s="22">
        <v>94</v>
      </c>
      <c r="P478" s="1">
        <v>62</v>
      </c>
      <c r="R478" t="s">
        <v>40</v>
      </c>
    </row>
    <row r="479" spans="1:18" x14ac:dyDescent="0.25">
      <c r="A479" t="s">
        <v>629</v>
      </c>
      <c r="B479" t="s">
        <v>67</v>
      </c>
      <c r="C479" t="s">
        <v>48</v>
      </c>
      <c r="D479" s="1" t="s">
        <v>1149</v>
      </c>
      <c r="E479" t="s">
        <v>1669</v>
      </c>
      <c r="F479" t="s">
        <v>75</v>
      </c>
      <c r="G479" t="s">
        <v>12</v>
      </c>
      <c r="H479" t="s">
        <v>2189</v>
      </c>
      <c r="I479" t="s">
        <v>42</v>
      </c>
      <c r="J479" t="s">
        <v>2709</v>
      </c>
      <c r="K479" t="s">
        <v>5</v>
      </c>
      <c r="L479" s="22">
        <v>9</v>
      </c>
      <c r="M479" s="30">
        <v>1</v>
      </c>
      <c r="N479" s="11" t="s">
        <v>5</v>
      </c>
      <c r="O479" s="1">
        <v>106</v>
      </c>
      <c r="P479" s="1">
        <v>106</v>
      </c>
    </row>
    <row r="480" spans="1:18" x14ac:dyDescent="0.25">
      <c r="A480" t="s">
        <v>630</v>
      </c>
      <c r="B480" t="s">
        <v>32</v>
      </c>
      <c r="C480" t="s">
        <v>33</v>
      </c>
      <c r="D480" s="1" t="s">
        <v>1150</v>
      </c>
      <c r="E480" t="s">
        <v>1670</v>
      </c>
      <c r="F480" t="s">
        <v>41</v>
      </c>
      <c r="G480" t="s">
        <v>12</v>
      </c>
      <c r="H480" t="s">
        <v>2190</v>
      </c>
      <c r="I480" t="s">
        <v>42</v>
      </c>
      <c r="J480" t="s">
        <v>2710</v>
      </c>
      <c r="K480" t="s">
        <v>5</v>
      </c>
      <c r="L480" s="22">
        <v>7</v>
      </c>
      <c r="M480" s="30">
        <v>1</v>
      </c>
      <c r="N480" s="11" t="s">
        <v>5</v>
      </c>
      <c r="O480" s="1">
        <v>52</v>
      </c>
      <c r="P480" s="1">
        <v>52</v>
      </c>
      <c r="R480" t="s">
        <v>40</v>
      </c>
    </row>
    <row r="481" spans="1:18" x14ac:dyDescent="0.25">
      <c r="A481" t="s">
        <v>631</v>
      </c>
      <c r="B481" t="s">
        <v>32</v>
      </c>
      <c r="C481" t="s">
        <v>33</v>
      </c>
      <c r="D481" s="1" t="s">
        <v>1151</v>
      </c>
      <c r="E481" t="s">
        <v>1671</v>
      </c>
      <c r="F481" t="s">
        <v>41</v>
      </c>
      <c r="G481" t="s">
        <v>12</v>
      </c>
      <c r="H481" t="s">
        <v>2191</v>
      </c>
      <c r="I481" t="s">
        <v>42</v>
      </c>
      <c r="J481" t="s">
        <v>2711</v>
      </c>
      <c r="K481" t="s">
        <v>5</v>
      </c>
      <c r="L481" s="22">
        <v>7</v>
      </c>
      <c r="M481" s="31">
        <v>0.44230769230769229</v>
      </c>
      <c r="N481" s="11" t="s">
        <v>6</v>
      </c>
      <c r="O481" s="22">
        <v>52</v>
      </c>
      <c r="P481" s="1">
        <v>23</v>
      </c>
      <c r="R481" t="s">
        <v>40</v>
      </c>
    </row>
    <row r="482" spans="1:18" x14ac:dyDescent="0.25">
      <c r="A482" t="s">
        <v>632</v>
      </c>
      <c r="B482" t="s">
        <v>32</v>
      </c>
      <c r="C482" t="s">
        <v>33</v>
      </c>
      <c r="D482" s="1" t="s">
        <v>1152</v>
      </c>
      <c r="E482" t="s">
        <v>1672</v>
      </c>
      <c r="F482" t="s">
        <v>69</v>
      </c>
      <c r="G482" t="s">
        <v>12</v>
      </c>
      <c r="H482" t="s">
        <v>2192</v>
      </c>
      <c r="I482" t="s">
        <v>35</v>
      </c>
      <c r="J482" t="s">
        <v>2712</v>
      </c>
      <c r="K482" t="s">
        <v>5</v>
      </c>
      <c r="L482" s="22">
        <v>7</v>
      </c>
      <c r="M482" s="31">
        <v>0.75</v>
      </c>
      <c r="N482" s="11" t="s">
        <v>6</v>
      </c>
      <c r="O482" s="22">
        <v>52</v>
      </c>
      <c r="P482" s="1">
        <v>39</v>
      </c>
      <c r="R482" t="s">
        <v>40</v>
      </c>
    </row>
    <row r="483" spans="1:18" x14ac:dyDescent="0.25">
      <c r="A483" t="s">
        <v>633</v>
      </c>
      <c r="B483" t="s">
        <v>148</v>
      </c>
      <c r="C483" t="s">
        <v>149</v>
      </c>
      <c r="D483" s="1" t="s">
        <v>1153</v>
      </c>
      <c r="E483" t="s">
        <v>1673</v>
      </c>
      <c r="F483" t="s">
        <v>38</v>
      </c>
      <c r="G483" t="s">
        <v>8</v>
      </c>
      <c r="H483" t="s">
        <v>2193</v>
      </c>
      <c r="I483" t="s">
        <v>125</v>
      </c>
      <c r="J483" t="s">
        <v>2713</v>
      </c>
      <c r="K483" t="s">
        <v>5</v>
      </c>
      <c r="L483" s="22">
        <v>9</v>
      </c>
      <c r="M483" s="31">
        <v>0.1</v>
      </c>
      <c r="N483" s="11" t="s">
        <v>6</v>
      </c>
      <c r="O483" s="22">
        <v>80</v>
      </c>
      <c r="P483" s="1">
        <v>8</v>
      </c>
      <c r="R483" t="s">
        <v>40</v>
      </c>
    </row>
    <row r="484" spans="1:18" x14ac:dyDescent="0.25">
      <c r="A484" t="s">
        <v>634</v>
      </c>
      <c r="B484" t="s">
        <v>73</v>
      </c>
      <c r="C484" t="s">
        <v>74</v>
      </c>
      <c r="D484" s="1" t="s">
        <v>1154</v>
      </c>
      <c r="E484" t="s">
        <v>1674</v>
      </c>
      <c r="F484" t="s">
        <v>34</v>
      </c>
      <c r="G484" t="s">
        <v>11</v>
      </c>
      <c r="H484" t="s">
        <v>2194</v>
      </c>
      <c r="I484" t="s">
        <v>100</v>
      </c>
      <c r="J484" t="s">
        <v>2714</v>
      </c>
      <c r="K484" t="s">
        <v>5</v>
      </c>
      <c r="L484" s="22">
        <v>12</v>
      </c>
      <c r="M484" s="30">
        <v>1</v>
      </c>
      <c r="N484" s="11" t="s">
        <v>5</v>
      </c>
      <c r="O484" s="1">
        <v>124</v>
      </c>
      <c r="P484" s="1">
        <v>124</v>
      </c>
    </row>
    <row r="485" spans="1:18" x14ac:dyDescent="0.25">
      <c r="A485" t="s">
        <v>635</v>
      </c>
      <c r="B485" t="s">
        <v>67</v>
      </c>
      <c r="C485" t="s">
        <v>48</v>
      </c>
      <c r="D485" s="1" t="s">
        <v>1155</v>
      </c>
      <c r="E485" t="s">
        <v>1675</v>
      </c>
      <c r="F485" t="s">
        <v>75</v>
      </c>
      <c r="G485" t="s">
        <v>12</v>
      </c>
      <c r="H485" t="s">
        <v>2195</v>
      </c>
      <c r="I485" t="s">
        <v>42</v>
      </c>
      <c r="J485" t="s">
        <v>2715</v>
      </c>
      <c r="K485" t="s">
        <v>5</v>
      </c>
      <c r="L485" s="22">
        <v>7</v>
      </c>
      <c r="M485" s="30">
        <v>1</v>
      </c>
      <c r="N485" s="11" t="s">
        <v>5</v>
      </c>
      <c r="O485" s="1">
        <v>50</v>
      </c>
      <c r="P485" s="1">
        <v>50</v>
      </c>
    </row>
    <row r="486" spans="1:18" x14ac:dyDescent="0.25">
      <c r="A486" t="s">
        <v>636</v>
      </c>
      <c r="B486" t="s">
        <v>88</v>
      </c>
      <c r="C486" t="s">
        <v>48</v>
      </c>
      <c r="D486" s="1" t="s">
        <v>1156</v>
      </c>
      <c r="E486" t="s">
        <v>1676</v>
      </c>
      <c r="F486" t="s">
        <v>75</v>
      </c>
      <c r="G486" t="s">
        <v>11</v>
      </c>
      <c r="H486" t="s">
        <v>2196</v>
      </c>
      <c r="I486" t="s">
        <v>46</v>
      </c>
      <c r="J486" t="s">
        <v>2716</v>
      </c>
      <c r="K486" t="s">
        <v>5</v>
      </c>
      <c r="L486" s="22">
        <v>9</v>
      </c>
      <c r="M486" s="30">
        <v>1</v>
      </c>
      <c r="N486" s="11" t="s">
        <v>5</v>
      </c>
      <c r="O486" s="1">
        <v>80</v>
      </c>
      <c r="P486" s="1">
        <v>80</v>
      </c>
    </row>
    <row r="487" spans="1:18" x14ac:dyDescent="0.25">
      <c r="A487" t="s">
        <v>637</v>
      </c>
      <c r="B487" t="s">
        <v>90</v>
      </c>
      <c r="C487" t="s">
        <v>91</v>
      </c>
      <c r="D487" s="1" t="s">
        <v>1157</v>
      </c>
      <c r="E487" t="s">
        <v>1677</v>
      </c>
      <c r="F487" t="s">
        <v>34</v>
      </c>
      <c r="G487" t="s">
        <v>8</v>
      </c>
      <c r="H487" t="s">
        <v>2197</v>
      </c>
      <c r="I487" t="s">
        <v>61</v>
      </c>
      <c r="J487" t="s">
        <v>2717</v>
      </c>
      <c r="K487" t="s">
        <v>5</v>
      </c>
      <c r="L487" s="22">
        <v>7</v>
      </c>
      <c r="M487" s="31">
        <v>0.48275862068965519</v>
      </c>
      <c r="N487" s="11" t="s">
        <v>6</v>
      </c>
      <c r="O487" s="22">
        <v>58</v>
      </c>
      <c r="P487" s="1">
        <v>28</v>
      </c>
      <c r="R487" t="s">
        <v>40</v>
      </c>
    </row>
    <row r="488" spans="1:18" x14ac:dyDescent="0.25">
      <c r="A488" t="s">
        <v>638</v>
      </c>
      <c r="B488" t="s">
        <v>62</v>
      </c>
      <c r="C488" t="s">
        <v>63</v>
      </c>
      <c r="D488" s="1" t="s">
        <v>1158</v>
      </c>
      <c r="E488" t="s">
        <v>1678</v>
      </c>
      <c r="F488" t="s">
        <v>34</v>
      </c>
      <c r="G488" t="s">
        <v>12</v>
      </c>
      <c r="H488" t="s">
        <v>2198</v>
      </c>
      <c r="I488" t="s">
        <v>64</v>
      </c>
      <c r="J488" t="s">
        <v>2718</v>
      </c>
      <c r="K488" t="s">
        <v>5</v>
      </c>
      <c r="L488" s="22">
        <v>7</v>
      </c>
      <c r="M488" s="30">
        <v>0.50877192982456143</v>
      </c>
      <c r="N488" s="11" t="s">
        <v>6</v>
      </c>
      <c r="O488" s="1">
        <v>57</v>
      </c>
      <c r="P488" s="1">
        <v>29</v>
      </c>
      <c r="R488" t="s">
        <v>40</v>
      </c>
    </row>
    <row r="489" spans="1:18" x14ac:dyDescent="0.25">
      <c r="A489" t="s">
        <v>639</v>
      </c>
      <c r="B489" t="s">
        <v>83</v>
      </c>
      <c r="C489" t="s">
        <v>57</v>
      </c>
      <c r="D489" s="1" t="s">
        <v>1159</v>
      </c>
      <c r="E489" t="s">
        <v>1679</v>
      </c>
      <c r="F489" t="s">
        <v>34</v>
      </c>
      <c r="G489" t="s">
        <v>12</v>
      </c>
      <c r="H489" t="s">
        <v>2199</v>
      </c>
      <c r="I489" t="s">
        <v>64</v>
      </c>
      <c r="J489" t="s">
        <v>2719</v>
      </c>
      <c r="K489" t="s">
        <v>5</v>
      </c>
      <c r="L489" s="22">
        <v>9</v>
      </c>
      <c r="M489" s="30">
        <v>0.79807692307692313</v>
      </c>
      <c r="N489" s="11" t="s">
        <v>6</v>
      </c>
      <c r="O489" s="1">
        <v>104</v>
      </c>
      <c r="P489" s="1">
        <v>83</v>
      </c>
    </row>
    <row r="490" spans="1:18" x14ac:dyDescent="0.25">
      <c r="A490" t="s">
        <v>640</v>
      </c>
      <c r="B490" t="s">
        <v>88</v>
      </c>
      <c r="C490" t="s">
        <v>48</v>
      </c>
      <c r="D490" s="1" t="s">
        <v>1160</v>
      </c>
      <c r="E490" t="s">
        <v>1680</v>
      </c>
      <c r="F490" t="s">
        <v>34</v>
      </c>
      <c r="G490" t="s">
        <v>11</v>
      </c>
      <c r="H490" t="s">
        <v>2200</v>
      </c>
      <c r="I490" t="s">
        <v>46</v>
      </c>
      <c r="J490" t="s">
        <v>2720</v>
      </c>
      <c r="K490" t="s">
        <v>5</v>
      </c>
      <c r="L490" s="22">
        <v>9</v>
      </c>
      <c r="M490" s="30">
        <v>0.6</v>
      </c>
      <c r="N490" s="11" t="s">
        <v>6</v>
      </c>
      <c r="O490" s="1">
        <v>80</v>
      </c>
      <c r="P490" s="1">
        <v>48</v>
      </c>
    </row>
    <row r="491" spans="1:18" x14ac:dyDescent="0.25">
      <c r="A491" t="s">
        <v>641</v>
      </c>
      <c r="B491" t="s">
        <v>60</v>
      </c>
      <c r="C491" t="s">
        <v>37</v>
      </c>
      <c r="D491" s="1" t="s">
        <v>1161</v>
      </c>
      <c r="E491" t="s">
        <v>1681</v>
      </c>
      <c r="F491" t="s">
        <v>75</v>
      </c>
      <c r="G491" t="s">
        <v>8</v>
      </c>
      <c r="H491" t="s">
        <v>2201</v>
      </c>
      <c r="I491" t="s">
        <v>61</v>
      </c>
      <c r="J491" t="s">
        <v>2721</v>
      </c>
      <c r="K491" t="s">
        <v>5</v>
      </c>
      <c r="L491" s="22">
        <v>3</v>
      </c>
      <c r="M491" s="31">
        <v>1</v>
      </c>
      <c r="N491" s="11" t="s">
        <v>5</v>
      </c>
      <c r="O491" s="22">
        <v>62</v>
      </c>
      <c r="P491" s="1">
        <v>62</v>
      </c>
      <c r="R491" t="s">
        <v>40</v>
      </c>
    </row>
    <row r="492" spans="1:18" x14ac:dyDescent="0.25">
      <c r="A492" t="s">
        <v>642</v>
      </c>
      <c r="B492" t="s">
        <v>32</v>
      </c>
      <c r="C492" t="s">
        <v>33</v>
      </c>
      <c r="D492" s="1" t="s">
        <v>1162</v>
      </c>
      <c r="E492" t="s">
        <v>1682</v>
      </c>
      <c r="F492" t="s">
        <v>82</v>
      </c>
      <c r="G492" t="s">
        <v>12</v>
      </c>
      <c r="H492" t="s">
        <v>2202</v>
      </c>
      <c r="I492" t="s">
        <v>42</v>
      </c>
      <c r="J492" t="s">
        <v>2722</v>
      </c>
      <c r="K492" t="s">
        <v>5</v>
      </c>
      <c r="L492" s="22">
        <v>7</v>
      </c>
      <c r="M492" s="30">
        <v>1</v>
      </c>
      <c r="N492" s="11" t="s">
        <v>5</v>
      </c>
      <c r="O492" s="1">
        <v>118</v>
      </c>
      <c r="P492" s="1">
        <v>118</v>
      </c>
      <c r="R492" t="s">
        <v>40</v>
      </c>
    </row>
    <row r="493" spans="1:18" x14ac:dyDescent="0.25">
      <c r="A493" t="s">
        <v>643</v>
      </c>
      <c r="B493" t="s">
        <v>67</v>
      </c>
      <c r="C493" t="s">
        <v>48</v>
      </c>
      <c r="D493" s="1" t="s">
        <v>1163</v>
      </c>
      <c r="E493" t="s">
        <v>1683</v>
      </c>
      <c r="F493" t="s">
        <v>34</v>
      </c>
      <c r="G493" t="s">
        <v>12</v>
      </c>
      <c r="H493" t="s">
        <v>2203</v>
      </c>
      <c r="I493" t="s">
        <v>35</v>
      </c>
      <c r="J493" t="s">
        <v>2723</v>
      </c>
      <c r="K493" t="s">
        <v>5</v>
      </c>
      <c r="L493" s="22">
        <v>9</v>
      </c>
      <c r="M493" s="30">
        <v>0.40277777777777779</v>
      </c>
      <c r="N493" s="11" t="s">
        <v>6</v>
      </c>
      <c r="O493" s="1">
        <v>72</v>
      </c>
      <c r="P493" s="1">
        <v>29</v>
      </c>
    </row>
    <row r="494" spans="1:18" x14ac:dyDescent="0.25">
      <c r="A494" t="s">
        <v>644</v>
      </c>
      <c r="B494" t="s">
        <v>143</v>
      </c>
      <c r="C494" t="s">
        <v>85</v>
      </c>
      <c r="D494" s="1" t="s">
        <v>1164</v>
      </c>
      <c r="E494" t="s">
        <v>1684</v>
      </c>
      <c r="F494" t="s">
        <v>70</v>
      </c>
      <c r="G494" t="s">
        <v>12</v>
      </c>
      <c r="H494" t="s">
        <v>2204</v>
      </c>
      <c r="I494" t="s">
        <v>52</v>
      </c>
      <c r="J494" t="s">
        <v>2724</v>
      </c>
      <c r="K494" t="s">
        <v>5</v>
      </c>
      <c r="L494" s="22">
        <v>7</v>
      </c>
      <c r="M494" s="30">
        <v>1</v>
      </c>
      <c r="N494" s="11" t="s">
        <v>5</v>
      </c>
      <c r="O494" s="1">
        <v>92</v>
      </c>
      <c r="P494" s="1">
        <v>92</v>
      </c>
      <c r="R494" t="s">
        <v>40</v>
      </c>
    </row>
    <row r="495" spans="1:18" x14ac:dyDescent="0.25">
      <c r="A495" t="s">
        <v>645</v>
      </c>
      <c r="B495" t="s">
        <v>60</v>
      </c>
      <c r="C495" t="s">
        <v>37</v>
      </c>
      <c r="D495" s="1" t="s">
        <v>1165</v>
      </c>
      <c r="E495" t="s">
        <v>1685</v>
      </c>
      <c r="F495" t="s">
        <v>34</v>
      </c>
      <c r="G495" t="s">
        <v>8</v>
      </c>
      <c r="H495" t="s">
        <v>2205</v>
      </c>
      <c r="I495" t="s">
        <v>61</v>
      </c>
      <c r="J495" t="s">
        <v>2725</v>
      </c>
      <c r="K495" t="s">
        <v>5</v>
      </c>
      <c r="L495" s="22">
        <v>7</v>
      </c>
      <c r="M495" s="31">
        <v>1</v>
      </c>
      <c r="N495" s="11" t="s">
        <v>5</v>
      </c>
      <c r="O495" s="22">
        <v>52</v>
      </c>
      <c r="P495" s="1">
        <v>52</v>
      </c>
      <c r="R495" t="s">
        <v>40</v>
      </c>
    </row>
    <row r="496" spans="1:18" x14ac:dyDescent="0.25">
      <c r="A496" t="s">
        <v>646</v>
      </c>
      <c r="B496" t="s">
        <v>62</v>
      </c>
      <c r="C496" t="s">
        <v>63</v>
      </c>
      <c r="D496" s="1" t="s">
        <v>1166</v>
      </c>
      <c r="E496" t="s">
        <v>1686</v>
      </c>
      <c r="F496" t="s">
        <v>75</v>
      </c>
      <c r="G496" t="s">
        <v>12</v>
      </c>
      <c r="H496" t="s">
        <v>2206</v>
      </c>
      <c r="I496" t="s">
        <v>52</v>
      </c>
      <c r="J496" t="s">
        <v>2726</v>
      </c>
      <c r="K496" t="s">
        <v>5</v>
      </c>
      <c r="L496" s="22">
        <v>6</v>
      </c>
      <c r="M496" s="30">
        <v>1</v>
      </c>
      <c r="N496" s="11" t="s">
        <v>5</v>
      </c>
      <c r="O496" s="1">
        <v>79</v>
      </c>
      <c r="P496" s="1">
        <v>79</v>
      </c>
      <c r="R496" t="s">
        <v>40</v>
      </c>
    </row>
    <row r="497" spans="1:18" x14ac:dyDescent="0.25">
      <c r="A497" t="s">
        <v>647</v>
      </c>
      <c r="B497" t="s">
        <v>139</v>
      </c>
      <c r="C497" t="s">
        <v>33</v>
      </c>
      <c r="D497" s="1" t="s">
        <v>1167</v>
      </c>
      <c r="E497" t="s">
        <v>1687</v>
      </c>
      <c r="F497" t="s">
        <v>43</v>
      </c>
      <c r="G497" t="s">
        <v>12</v>
      </c>
      <c r="H497" t="s">
        <v>2207</v>
      </c>
      <c r="I497" t="s">
        <v>42</v>
      </c>
      <c r="J497" t="s">
        <v>2727</v>
      </c>
      <c r="K497" t="s">
        <v>5</v>
      </c>
      <c r="L497" s="22">
        <v>28</v>
      </c>
      <c r="M497" s="31">
        <v>1</v>
      </c>
      <c r="N497" s="11" t="s">
        <v>5</v>
      </c>
      <c r="O497" s="22">
        <v>99</v>
      </c>
      <c r="P497" s="1">
        <v>99</v>
      </c>
      <c r="Q497" t="s">
        <v>44</v>
      </c>
      <c r="R497" t="s">
        <v>40</v>
      </c>
    </row>
    <row r="498" spans="1:18" x14ac:dyDescent="0.25">
      <c r="A498" t="s">
        <v>648</v>
      </c>
      <c r="B498" t="s">
        <v>67</v>
      </c>
      <c r="C498" t="s">
        <v>48</v>
      </c>
      <c r="D498" s="1" t="s">
        <v>1168</v>
      </c>
      <c r="E498" t="s">
        <v>1688</v>
      </c>
      <c r="F498" t="s">
        <v>114</v>
      </c>
      <c r="G498" t="s">
        <v>12</v>
      </c>
      <c r="H498" t="s">
        <v>2208</v>
      </c>
      <c r="I498" t="s">
        <v>35</v>
      </c>
      <c r="J498" t="s">
        <v>2728</v>
      </c>
      <c r="K498" t="s">
        <v>5</v>
      </c>
      <c r="L498" s="22">
        <v>9</v>
      </c>
      <c r="M498" s="30">
        <v>0.2857142857142857</v>
      </c>
      <c r="N498" s="11" t="s">
        <v>6</v>
      </c>
      <c r="O498" s="1">
        <v>70</v>
      </c>
      <c r="P498" s="1">
        <v>20</v>
      </c>
    </row>
    <row r="499" spans="1:18" x14ac:dyDescent="0.25">
      <c r="A499" t="s">
        <v>649</v>
      </c>
      <c r="B499" t="s">
        <v>112</v>
      </c>
      <c r="C499" t="s">
        <v>85</v>
      </c>
      <c r="D499" s="1" t="s">
        <v>1169</v>
      </c>
      <c r="E499" t="s">
        <v>1689</v>
      </c>
      <c r="F499" t="s">
        <v>75</v>
      </c>
      <c r="G499" t="s">
        <v>11</v>
      </c>
      <c r="H499" t="s">
        <v>2209</v>
      </c>
      <c r="I499" t="s">
        <v>46</v>
      </c>
      <c r="J499" t="s">
        <v>2729</v>
      </c>
      <c r="K499" t="s">
        <v>5</v>
      </c>
      <c r="L499" s="22">
        <v>7</v>
      </c>
      <c r="M499" s="30">
        <v>1</v>
      </c>
      <c r="N499" s="11" t="s">
        <v>5</v>
      </c>
      <c r="O499" s="1">
        <v>70</v>
      </c>
      <c r="P499" s="1">
        <v>70</v>
      </c>
      <c r="R499" t="s">
        <v>40</v>
      </c>
    </row>
    <row r="500" spans="1:18" s="5" customFormat="1" x14ac:dyDescent="0.25">
      <c r="A500" t="s">
        <v>650</v>
      </c>
      <c r="B500" t="s">
        <v>88</v>
      </c>
      <c r="C500" t="s">
        <v>48</v>
      </c>
      <c r="D500" s="1" t="s">
        <v>1170</v>
      </c>
      <c r="E500" t="s">
        <v>1690</v>
      </c>
      <c r="F500" s="5" t="s">
        <v>75</v>
      </c>
      <c r="G500" s="5" t="s">
        <v>12</v>
      </c>
      <c r="H500" t="s">
        <v>2210</v>
      </c>
      <c r="I500" s="15" t="s">
        <v>80</v>
      </c>
      <c r="J500" s="5" t="s">
        <v>2730</v>
      </c>
      <c r="K500" s="5" t="s">
        <v>5</v>
      </c>
      <c r="L500" s="25">
        <v>9</v>
      </c>
      <c r="M500" s="30">
        <v>1</v>
      </c>
      <c r="N500" s="11" t="s">
        <v>5</v>
      </c>
      <c r="O500" s="1">
        <v>70</v>
      </c>
      <c r="P500" s="1">
        <v>70</v>
      </c>
      <c r="Q500"/>
      <c r="R500"/>
    </row>
    <row r="501" spans="1:18" x14ac:dyDescent="0.25">
      <c r="A501" t="s">
        <v>651</v>
      </c>
      <c r="B501" t="s">
        <v>128</v>
      </c>
      <c r="C501" t="s">
        <v>128</v>
      </c>
      <c r="D501" s="1" t="s">
        <v>1171</v>
      </c>
      <c r="E501" t="s">
        <v>1691</v>
      </c>
      <c r="F501" t="s">
        <v>49</v>
      </c>
      <c r="G501" t="s">
        <v>12</v>
      </c>
      <c r="H501" t="s">
        <v>2211</v>
      </c>
      <c r="I501" t="s">
        <v>50</v>
      </c>
      <c r="J501" t="s">
        <v>2731</v>
      </c>
      <c r="K501" t="s">
        <v>5</v>
      </c>
      <c r="L501" s="22">
        <v>7</v>
      </c>
      <c r="M501" s="30">
        <v>1</v>
      </c>
      <c r="N501" s="11" t="s">
        <v>5</v>
      </c>
      <c r="O501" s="22">
        <v>64</v>
      </c>
      <c r="P501" s="1">
        <v>64</v>
      </c>
      <c r="Q501" t="s">
        <v>44</v>
      </c>
      <c r="R501" t="s">
        <v>40</v>
      </c>
    </row>
    <row r="502" spans="1:18" x14ac:dyDescent="0.25">
      <c r="A502" t="s">
        <v>652</v>
      </c>
      <c r="B502" t="s">
        <v>56</v>
      </c>
      <c r="C502" t="s">
        <v>57</v>
      </c>
      <c r="D502" s="1" t="s">
        <v>1172</v>
      </c>
      <c r="E502" t="s">
        <v>1692</v>
      </c>
      <c r="F502" t="s">
        <v>34</v>
      </c>
      <c r="G502" t="s">
        <v>12</v>
      </c>
      <c r="H502" t="s">
        <v>2212</v>
      </c>
      <c r="I502" t="s">
        <v>58</v>
      </c>
      <c r="J502" t="s">
        <v>2732</v>
      </c>
      <c r="K502" t="s">
        <v>5</v>
      </c>
      <c r="L502" s="22">
        <v>9</v>
      </c>
      <c r="M502" s="30">
        <v>1</v>
      </c>
      <c r="N502" s="11" t="s">
        <v>5</v>
      </c>
      <c r="O502" s="1">
        <v>78</v>
      </c>
      <c r="P502" s="1">
        <v>78</v>
      </c>
      <c r="R502" t="s">
        <v>40</v>
      </c>
    </row>
    <row r="503" spans="1:18" x14ac:dyDescent="0.25">
      <c r="A503" t="s">
        <v>653</v>
      </c>
      <c r="B503" t="s">
        <v>53</v>
      </c>
      <c r="C503" t="s">
        <v>48</v>
      </c>
      <c r="D503" s="1" t="s">
        <v>1173</v>
      </c>
      <c r="E503" t="s">
        <v>1693</v>
      </c>
      <c r="F503" t="s">
        <v>34</v>
      </c>
      <c r="G503" t="s">
        <v>12</v>
      </c>
      <c r="H503" t="s">
        <v>2213</v>
      </c>
      <c r="I503" t="s">
        <v>52</v>
      </c>
      <c r="J503" t="s">
        <v>2733</v>
      </c>
      <c r="K503" t="s">
        <v>5</v>
      </c>
      <c r="L503" s="22">
        <v>9</v>
      </c>
      <c r="M503" s="30">
        <v>0.28985507246376813</v>
      </c>
      <c r="N503" s="11" t="s">
        <v>6</v>
      </c>
      <c r="O503" s="1">
        <v>69</v>
      </c>
      <c r="P503" s="1">
        <v>20</v>
      </c>
      <c r="R503" t="s">
        <v>40</v>
      </c>
    </row>
    <row r="504" spans="1:18" x14ac:dyDescent="0.25">
      <c r="A504" t="s">
        <v>654</v>
      </c>
      <c r="B504" t="s">
        <v>62</v>
      </c>
      <c r="C504" t="s">
        <v>63</v>
      </c>
      <c r="D504" s="1" t="s">
        <v>1174</v>
      </c>
      <c r="E504" t="s">
        <v>1694</v>
      </c>
      <c r="F504" t="s">
        <v>34</v>
      </c>
      <c r="G504" t="s">
        <v>12</v>
      </c>
      <c r="H504" t="s">
        <v>2214</v>
      </c>
      <c r="I504" t="s">
        <v>35</v>
      </c>
      <c r="J504" t="s">
        <v>2734</v>
      </c>
      <c r="K504" t="s">
        <v>5</v>
      </c>
      <c r="L504" s="22">
        <v>7</v>
      </c>
      <c r="M504" s="30">
        <v>1</v>
      </c>
      <c r="N504" s="11" t="s">
        <v>5</v>
      </c>
      <c r="O504" s="1">
        <v>65</v>
      </c>
      <c r="P504" s="1">
        <v>65</v>
      </c>
      <c r="R504" t="s">
        <v>40</v>
      </c>
    </row>
    <row r="505" spans="1:18" x14ac:dyDescent="0.25">
      <c r="A505" t="s">
        <v>655</v>
      </c>
      <c r="B505" t="s">
        <v>88</v>
      </c>
      <c r="C505" t="s">
        <v>48</v>
      </c>
      <c r="D505" s="1" t="s">
        <v>1175</v>
      </c>
      <c r="E505" t="s">
        <v>1695</v>
      </c>
      <c r="F505" t="s">
        <v>75</v>
      </c>
      <c r="G505" t="s">
        <v>11</v>
      </c>
      <c r="H505" t="s">
        <v>2215</v>
      </c>
      <c r="I505" t="s">
        <v>46</v>
      </c>
      <c r="J505" t="s">
        <v>2735</v>
      </c>
      <c r="K505" t="s">
        <v>5</v>
      </c>
      <c r="L505" s="22">
        <v>9</v>
      </c>
      <c r="M505" s="31">
        <v>0.1875</v>
      </c>
      <c r="N505" s="11" t="s">
        <v>6</v>
      </c>
      <c r="O505" s="22">
        <v>80</v>
      </c>
      <c r="P505" s="1">
        <v>15</v>
      </c>
      <c r="R505" t="s">
        <v>40</v>
      </c>
    </row>
    <row r="506" spans="1:18" x14ac:dyDescent="0.25">
      <c r="A506" t="s">
        <v>656</v>
      </c>
      <c r="B506" t="s">
        <v>51</v>
      </c>
      <c r="C506" t="s">
        <v>37</v>
      </c>
      <c r="D506" s="1" t="s">
        <v>1176</v>
      </c>
      <c r="E506" t="s">
        <v>1696</v>
      </c>
      <c r="F506" t="s">
        <v>75</v>
      </c>
      <c r="G506" t="s">
        <v>12</v>
      </c>
      <c r="H506" t="s">
        <v>2216</v>
      </c>
      <c r="I506" t="s">
        <v>42</v>
      </c>
      <c r="J506" t="s">
        <v>2736</v>
      </c>
      <c r="K506" t="s">
        <v>5</v>
      </c>
      <c r="L506" s="22">
        <v>9</v>
      </c>
      <c r="M506" s="30">
        <v>1</v>
      </c>
      <c r="N506" s="11" t="s">
        <v>5</v>
      </c>
      <c r="O506" s="1">
        <v>100</v>
      </c>
      <c r="P506" s="1">
        <v>100</v>
      </c>
    </row>
    <row r="507" spans="1:18" x14ac:dyDescent="0.25">
      <c r="A507" t="s">
        <v>657</v>
      </c>
      <c r="B507" t="s">
        <v>88</v>
      </c>
      <c r="C507" t="s">
        <v>48</v>
      </c>
      <c r="D507" s="1" t="s">
        <v>1177</v>
      </c>
      <c r="E507" t="s">
        <v>1697</v>
      </c>
      <c r="F507" t="s">
        <v>89</v>
      </c>
      <c r="G507" t="s">
        <v>12</v>
      </c>
      <c r="H507" t="s">
        <v>2217</v>
      </c>
      <c r="I507" t="s">
        <v>54</v>
      </c>
      <c r="J507" t="s">
        <v>2737</v>
      </c>
      <c r="K507" t="s">
        <v>5</v>
      </c>
      <c r="L507" s="22">
        <v>9</v>
      </c>
      <c r="M507" s="30">
        <v>1</v>
      </c>
      <c r="N507" s="11" t="s">
        <v>5</v>
      </c>
      <c r="O507" s="1">
        <v>84</v>
      </c>
      <c r="P507" s="1">
        <v>84</v>
      </c>
    </row>
    <row r="508" spans="1:18" x14ac:dyDescent="0.25">
      <c r="A508" t="s">
        <v>658</v>
      </c>
      <c r="B508" t="s">
        <v>32</v>
      </c>
      <c r="C508" t="s">
        <v>33</v>
      </c>
      <c r="D508" s="1" t="s">
        <v>1178</v>
      </c>
      <c r="E508" t="s">
        <v>1698</v>
      </c>
      <c r="F508" t="s">
        <v>43</v>
      </c>
      <c r="G508" t="s">
        <v>12</v>
      </c>
      <c r="H508" t="s">
        <v>2218</v>
      </c>
      <c r="I508" t="s">
        <v>55</v>
      </c>
      <c r="J508" t="s">
        <v>2738</v>
      </c>
      <c r="K508" t="s">
        <v>5</v>
      </c>
      <c r="L508" s="22">
        <v>7</v>
      </c>
      <c r="M508" s="31">
        <v>1</v>
      </c>
      <c r="N508" s="11" t="s">
        <v>5</v>
      </c>
      <c r="O508" s="22">
        <v>82</v>
      </c>
      <c r="P508" s="1">
        <v>82</v>
      </c>
      <c r="Q508" t="s">
        <v>44</v>
      </c>
      <c r="R508" t="s">
        <v>40</v>
      </c>
    </row>
    <row r="509" spans="1:18" x14ac:dyDescent="0.25">
      <c r="A509" t="s">
        <v>659</v>
      </c>
      <c r="B509" t="s">
        <v>83</v>
      </c>
      <c r="C509" t="s">
        <v>57</v>
      </c>
      <c r="D509" s="1" t="s">
        <v>1179</v>
      </c>
      <c r="E509" t="s">
        <v>1699</v>
      </c>
      <c r="F509" t="s">
        <v>75</v>
      </c>
      <c r="G509" t="s">
        <v>11</v>
      </c>
      <c r="H509" t="s">
        <v>2219</v>
      </c>
      <c r="I509" t="s">
        <v>46</v>
      </c>
      <c r="J509" t="s">
        <v>2739</v>
      </c>
      <c r="K509" t="s">
        <v>5</v>
      </c>
      <c r="L509" s="22">
        <v>5</v>
      </c>
      <c r="M509" s="31">
        <v>1</v>
      </c>
      <c r="N509" s="11" t="s">
        <v>5</v>
      </c>
      <c r="O509" s="22">
        <v>62</v>
      </c>
      <c r="P509" s="1">
        <v>62</v>
      </c>
      <c r="R509" t="s">
        <v>40</v>
      </c>
    </row>
    <row r="510" spans="1:18" x14ac:dyDescent="0.25">
      <c r="A510" t="s">
        <v>660</v>
      </c>
      <c r="B510" t="s">
        <v>83</v>
      </c>
      <c r="C510" t="s">
        <v>57</v>
      </c>
      <c r="D510" s="1" t="s">
        <v>1180</v>
      </c>
      <c r="E510" t="s">
        <v>1700</v>
      </c>
      <c r="F510" t="s">
        <v>34</v>
      </c>
      <c r="G510" t="s">
        <v>12</v>
      </c>
      <c r="H510" t="s">
        <v>2220</v>
      </c>
      <c r="I510" t="s">
        <v>72</v>
      </c>
      <c r="J510" t="s">
        <v>2740</v>
      </c>
      <c r="K510" t="s">
        <v>5</v>
      </c>
      <c r="L510" s="22">
        <v>7</v>
      </c>
      <c r="M510" s="30">
        <v>1</v>
      </c>
      <c r="N510" s="11" t="s">
        <v>5</v>
      </c>
      <c r="O510" s="1">
        <v>92</v>
      </c>
      <c r="P510" s="1">
        <v>92</v>
      </c>
    </row>
    <row r="511" spans="1:18" x14ac:dyDescent="0.25">
      <c r="A511" t="s">
        <v>661</v>
      </c>
      <c r="B511" t="s">
        <v>53</v>
      </c>
      <c r="C511" t="s">
        <v>48</v>
      </c>
      <c r="D511" s="1" t="s">
        <v>1181</v>
      </c>
      <c r="E511" t="s">
        <v>1701</v>
      </c>
      <c r="F511" t="s">
        <v>70</v>
      </c>
      <c r="G511" t="s">
        <v>12</v>
      </c>
      <c r="H511" t="s">
        <v>2221</v>
      </c>
      <c r="I511" t="s">
        <v>54</v>
      </c>
      <c r="J511" t="s">
        <v>2741</v>
      </c>
      <c r="K511" t="s">
        <v>5</v>
      </c>
      <c r="L511" s="22">
        <v>9</v>
      </c>
      <c r="M511" s="30">
        <v>1</v>
      </c>
      <c r="N511" s="11" t="s">
        <v>5</v>
      </c>
      <c r="O511" s="1">
        <v>78</v>
      </c>
      <c r="P511" s="1">
        <v>78</v>
      </c>
      <c r="R511" t="s">
        <v>40</v>
      </c>
    </row>
    <row r="512" spans="1:18" x14ac:dyDescent="0.25">
      <c r="A512" t="s">
        <v>662</v>
      </c>
      <c r="B512" t="s">
        <v>83</v>
      </c>
      <c r="C512" t="s">
        <v>57</v>
      </c>
      <c r="D512" s="1" t="s">
        <v>1182</v>
      </c>
      <c r="E512" t="s">
        <v>1702</v>
      </c>
      <c r="F512" t="s">
        <v>41</v>
      </c>
      <c r="G512" t="s">
        <v>11</v>
      </c>
      <c r="H512" t="s">
        <v>2222</v>
      </c>
      <c r="I512" t="s">
        <v>46</v>
      </c>
      <c r="J512" t="s">
        <v>2742</v>
      </c>
      <c r="K512" t="s">
        <v>5</v>
      </c>
      <c r="L512" s="22">
        <v>5</v>
      </c>
      <c r="M512" s="30">
        <v>1</v>
      </c>
      <c r="N512" s="11" t="s">
        <v>5</v>
      </c>
      <c r="O512" s="22">
        <v>62</v>
      </c>
      <c r="P512" s="1">
        <v>62</v>
      </c>
      <c r="R512" t="s">
        <v>40</v>
      </c>
    </row>
    <row r="513" spans="1:18" x14ac:dyDescent="0.25">
      <c r="A513" t="s">
        <v>663</v>
      </c>
      <c r="B513" t="s">
        <v>77</v>
      </c>
      <c r="C513" t="s">
        <v>57</v>
      </c>
      <c r="D513" s="1" t="s">
        <v>1183</v>
      </c>
      <c r="E513" t="s">
        <v>1703</v>
      </c>
      <c r="F513" t="s">
        <v>75</v>
      </c>
      <c r="G513" t="s">
        <v>8</v>
      </c>
      <c r="H513" t="s">
        <v>2223</v>
      </c>
      <c r="I513" t="s">
        <v>61</v>
      </c>
      <c r="J513" t="s">
        <v>2743</v>
      </c>
      <c r="K513" t="s">
        <v>5</v>
      </c>
      <c r="L513" s="22">
        <v>7</v>
      </c>
      <c r="M513" s="31">
        <v>0.875</v>
      </c>
      <c r="N513" s="11" t="s">
        <v>6</v>
      </c>
      <c r="O513" s="22">
        <v>64</v>
      </c>
      <c r="P513" s="1">
        <v>56</v>
      </c>
      <c r="R513" t="s">
        <v>40</v>
      </c>
    </row>
    <row r="514" spans="1:18" x14ac:dyDescent="0.25">
      <c r="A514" t="s">
        <v>664</v>
      </c>
      <c r="B514" t="s">
        <v>45</v>
      </c>
      <c r="C514" t="s">
        <v>37</v>
      </c>
      <c r="D514" s="1" t="s">
        <v>1184</v>
      </c>
      <c r="E514" t="s">
        <v>1704</v>
      </c>
      <c r="F514" t="s">
        <v>49</v>
      </c>
      <c r="G514" t="s">
        <v>11</v>
      </c>
      <c r="H514" t="s">
        <v>2224</v>
      </c>
      <c r="I514" t="s">
        <v>46</v>
      </c>
      <c r="J514" t="s">
        <v>2744</v>
      </c>
      <c r="K514" t="s">
        <v>5</v>
      </c>
      <c r="L514" s="22">
        <v>5</v>
      </c>
      <c r="M514" s="30">
        <v>1</v>
      </c>
      <c r="N514" s="11" t="s">
        <v>5</v>
      </c>
      <c r="O514" s="22">
        <v>72</v>
      </c>
      <c r="P514" s="1">
        <v>72</v>
      </c>
      <c r="R514" t="s">
        <v>40</v>
      </c>
    </row>
    <row r="515" spans="1:18" x14ac:dyDescent="0.25">
      <c r="A515" t="s">
        <v>665</v>
      </c>
      <c r="B515" t="s">
        <v>83</v>
      </c>
      <c r="C515" t="s">
        <v>57</v>
      </c>
      <c r="D515" s="1" t="s">
        <v>1185</v>
      </c>
      <c r="E515" t="s">
        <v>1705</v>
      </c>
      <c r="F515" t="s">
        <v>49</v>
      </c>
      <c r="G515" t="s">
        <v>11</v>
      </c>
      <c r="H515" t="s">
        <v>2225</v>
      </c>
      <c r="I515" t="s">
        <v>46</v>
      </c>
      <c r="J515" t="s">
        <v>2745</v>
      </c>
      <c r="K515" t="s">
        <v>5</v>
      </c>
      <c r="L515" s="22">
        <v>7</v>
      </c>
      <c r="M515" s="30">
        <v>1</v>
      </c>
      <c r="N515" s="11" t="s">
        <v>5</v>
      </c>
      <c r="O515" s="22">
        <v>64</v>
      </c>
      <c r="P515" s="1">
        <v>64</v>
      </c>
      <c r="R515" t="s">
        <v>40</v>
      </c>
    </row>
    <row r="516" spans="1:18" x14ac:dyDescent="0.25">
      <c r="A516" t="s">
        <v>666</v>
      </c>
      <c r="B516" t="s">
        <v>73</v>
      </c>
      <c r="C516" t="s">
        <v>74</v>
      </c>
      <c r="D516" s="1" t="s">
        <v>1186</v>
      </c>
      <c r="E516" t="s">
        <v>1706</v>
      </c>
      <c r="F516" t="s">
        <v>34</v>
      </c>
      <c r="G516" t="s">
        <v>11</v>
      </c>
      <c r="H516" t="s">
        <v>2226</v>
      </c>
      <c r="I516" t="s">
        <v>46</v>
      </c>
      <c r="J516" t="s">
        <v>2746</v>
      </c>
      <c r="K516" t="s">
        <v>5</v>
      </c>
      <c r="L516" s="22">
        <v>9</v>
      </c>
      <c r="M516" s="31">
        <v>1</v>
      </c>
      <c r="N516" s="11" t="s">
        <v>5</v>
      </c>
      <c r="O516" s="22">
        <v>80</v>
      </c>
      <c r="P516" s="1">
        <v>80</v>
      </c>
      <c r="R516" t="s">
        <v>40</v>
      </c>
    </row>
    <row r="517" spans="1:18" x14ac:dyDescent="0.25">
      <c r="A517" t="s">
        <v>667</v>
      </c>
      <c r="B517" t="s">
        <v>53</v>
      </c>
      <c r="C517" t="s">
        <v>48</v>
      </c>
      <c r="D517" s="1" t="s">
        <v>1187</v>
      </c>
      <c r="E517" t="s">
        <v>1707</v>
      </c>
      <c r="F517" t="s">
        <v>70</v>
      </c>
      <c r="G517" t="s">
        <v>12</v>
      </c>
      <c r="H517" t="s">
        <v>2227</v>
      </c>
      <c r="I517" t="s">
        <v>42</v>
      </c>
      <c r="J517" t="s">
        <v>2747</v>
      </c>
      <c r="K517" t="s">
        <v>5</v>
      </c>
      <c r="L517" s="22">
        <v>7</v>
      </c>
      <c r="M517" s="31">
        <v>1</v>
      </c>
      <c r="N517" s="11" t="s">
        <v>5</v>
      </c>
      <c r="O517" s="22">
        <v>62</v>
      </c>
      <c r="P517" s="1">
        <v>62</v>
      </c>
      <c r="R517" t="s">
        <v>40</v>
      </c>
    </row>
    <row r="518" spans="1:18" x14ac:dyDescent="0.25">
      <c r="A518" t="s">
        <v>668</v>
      </c>
      <c r="B518" t="s">
        <v>88</v>
      </c>
      <c r="C518" t="s">
        <v>48</v>
      </c>
      <c r="D518" s="1" t="s">
        <v>1188</v>
      </c>
      <c r="E518" t="s">
        <v>1708</v>
      </c>
      <c r="F518" t="s">
        <v>75</v>
      </c>
      <c r="G518" t="s">
        <v>12</v>
      </c>
      <c r="H518" t="s">
        <v>2228</v>
      </c>
      <c r="I518" t="s">
        <v>150</v>
      </c>
      <c r="J518" t="s">
        <v>2748</v>
      </c>
      <c r="K518" t="s">
        <v>5</v>
      </c>
      <c r="L518" s="22">
        <v>0</v>
      </c>
      <c r="M518" s="30">
        <v>1</v>
      </c>
      <c r="N518" s="11" t="s">
        <v>5</v>
      </c>
      <c r="O518" s="1">
        <v>84</v>
      </c>
      <c r="P518" s="1">
        <v>84</v>
      </c>
    </row>
    <row r="519" spans="1:18" x14ac:dyDescent="0.25">
      <c r="A519" t="s">
        <v>669</v>
      </c>
      <c r="B519" t="s">
        <v>90</v>
      </c>
      <c r="C519" t="s">
        <v>91</v>
      </c>
      <c r="D519" s="1" t="s">
        <v>1189</v>
      </c>
      <c r="E519" t="s">
        <v>1709</v>
      </c>
      <c r="F519" t="s">
        <v>75</v>
      </c>
      <c r="G519" t="s">
        <v>8</v>
      </c>
      <c r="H519" t="s">
        <v>2229</v>
      </c>
      <c r="I519" t="s">
        <v>151</v>
      </c>
      <c r="J519" t="s">
        <v>2749</v>
      </c>
      <c r="K519" t="s">
        <v>5</v>
      </c>
      <c r="L519" s="22">
        <v>9</v>
      </c>
      <c r="M519" s="30">
        <v>1</v>
      </c>
      <c r="N519" s="11" t="s">
        <v>5</v>
      </c>
      <c r="O519" s="1">
        <v>80</v>
      </c>
      <c r="P519" s="1">
        <v>80</v>
      </c>
      <c r="R519" t="s">
        <v>40</v>
      </c>
    </row>
    <row r="520" spans="1:18" x14ac:dyDescent="0.25">
      <c r="A520" t="s">
        <v>670</v>
      </c>
      <c r="B520" t="s">
        <v>60</v>
      </c>
      <c r="C520" t="s">
        <v>37</v>
      </c>
      <c r="D520" s="1" t="s">
        <v>1190</v>
      </c>
      <c r="E520" t="s">
        <v>1710</v>
      </c>
      <c r="F520" t="s">
        <v>75</v>
      </c>
      <c r="G520" t="s">
        <v>8</v>
      </c>
      <c r="H520" t="s">
        <v>2230</v>
      </c>
      <c r="I520" t="s">
        <v>152</v>
      </c>
      <c r="J520" t="s">
        <v>2750</v>
      </c>
      <c r="K520" t="s">
        <v>5</v>
      </c>
      <c r="L520" s="22">
        <v>8</v>
      </c>
      <c r="M520" s="30">
        <v>0.76288659793814428</v>
      </c>
      <c r="N520" s="23" t="s">
        <v>6</v>
      </c>
      <c r="O520" s="22">
        <v>97</v>
      </c>
      <c r="P520" s="1">
        <v>74</v>
      </c>
      <c r="Q520" t="s">
        <v>44</v>
      </c>
      <c r="R520" t="s">
        <v>40</v>
      </c>
    </row>
    <row r="521" spans="1:18" x14ac:dyDescent="0.25">
      <c r="A521" t="s">
        <v>671</v>
      </c>
      <c r="B521" t="s">
        <v>128</v>
      </c>
      <c r="C521" t="s">
        <v>128</v>
      </c>
      <c r="D521" s="1" t="s">
        <v>1191</v>
      </c>
      <c r="E521" t="s">
        <v>1711</v>
      </c>
      <c r="F521" t="s">
        <v>75</v>
      </c>
      <c r="G521" t="s">
        <v>8</v>
      </c>
      <c r="H521" t="s">
        <v>2231</v>
      </c>
      <c r="I521" t="s">
        <v>152</v>
      </c>
      <c r="J521" t="s">
        <v>2751</v>
      </c>
      <c r="K521" t="s">
        <v>5</v>
      </c>
      <c r="L521" s="22">
        <v>0</v>
      </c>
      <c r="M521" s="30">
        <v>1</v>
      </c>
      <c r="N521" s="11" t="s">
        <v>5</v>
      </c>
      <c r="O521" s="1">
        <v>80</v>
      </c>
      <c r="P521" s="1">
        <v>80</v>
      </c>
      <c r="R521" t="s">
        <v>40</v>
      </c>
    </row>
    <row r="522" spans="1:18" x14ac:dyDescent="0.25">
      <c r="A522" t="s">
        <v>672</v>
      </c>
      <c r="B522" t="s">
        <v>153</v>
      </c>
      <c r="C522" t="s">
        <v>33</v>
      </c>
      <c r="D522" s="1" t="s">
        <v>1192</v>
      </c>
      <c r="E522" t="s">
        <v>1712</v>
      </c>
      <c r="F522" t="s">
        <v>75</v>
      </c>
      <c r="G522" t="s">
        <v>12</v>
      </c>
      <c r="H522" t="s">
        <v>2232</v>
      </c>
      <c r="I522" t="s">
        <v>154</v>
      </c>
      <c r="J522" t="s">
        <v>2752</v>
      </c>
      <c r="K522" t="s">
        <v>5</v>
      </c>
      <c r="L522" s="1">
        <v>8</v>
      </c>
      <c r="M522" s="30">
        <v>0.8571428571428571</v>
      </c>
      <c r="N522" s="11" t="s">
        <v>6</v>
      </c>
      <c r="O522" s="1">
        <v>77</v>
      </c>
      <c r="P522" s="1">
        <v>66</v>
      </c>
      <c r="Q522" t="s">
        <v>44</v>
      </c>
      <c r="R522" t="s">
        <v>40</v>
      </c>
    </row>
    <row r="523" spans="1:18" x14ac:dyDescent="0.25">
      <c r="A523" t="s">
        <v>673</v>
      </c>
      <c r="B523" t="s">
        <v>143</v>
      </c>
      <c r="C523" t="s">
        <v>85</v>
      </c>
      <c r="D523" s="1" t="s">
        <v>1193</v>
      </c>
      <c r="E523" t="s">
        <v>1713</v>
      </c>
      <c r="F523" t="s">
        <v>75</v>
      </c>
      <c r="G523" t="s">
        <v>12</v>
      </c>
      <c r="H523" t="s">
        <v>2233</v>
      </c>
      <c r="I523" t="s">
        <v>155</v>
      </c>
      <c r="J523" t="s">
        <v>2753</v>
      </c>
      <c r="K523" t="s">
        <v>5</v>
      </c>
      <c r="L523" s="1">
        <v>8</v>
      </c>
      <c r="M523" s="30">
        <v>1</v>
      </c>
      <c r="N523" s="11" t="s">
        <v>5</v>
      </c>
      <c r="O523" s="1">
        <v>83</v>
      </c>
      <c r="P523" s="1">
        <v>83</v>
      </c>
    </row>
    <row r="524" spans="1:18" x14ac:dyDescent="0.25">
      <c r="A524" t="s">
        <v>674</v>
      </c>
      <c r="B524" t="s">
        <v>156</v>
      </c>
      <c r="C524" t="s">
        <v>48</v>
      </c>
      <c r="D524" s="1" t="s">
        <v>1194</v>
      </c>
      <c r="E524" t="s">
        <v>1714</v>
      </c>
      <c r="F524" t="s">
        <v>75</v>
      </c>
      <c r="G524" t="s">
        <v>8</v>
      </c>
      <c r="H524" t="s">
        <v>2234</v>
      </c>
      <c r="I524" t="s">
        <v>157</v>
      </c>
      <c r="J524" t="s">
        <v>2754</v>
      </c>
      <c r="K524" t="s">
        <v>5</v>
      </c>
      <c r="L524" s="1">
        <v>18</v>
      </c>
      <c r="M524" s="30">
        <v>0.40789473684210525</v>
      </c>
      <c r="N524" s="11" t="s">
        <v>6</v>
      </c>
      <c r="O524" s="1">
        <v>76</v>
      </c>
      <c r="P524" s="1">
        <v>31</v>
      </c>
      <c r="Q524" t="s">
        <v>44</v>
      </c>
      <c r="R524" t="s">
        <v>40</v>
      </c>
    </row>
    <row r="525" spans="1:18" x14ac:dyDescent="0.25">
      <c r="A525" t="s">
        <v>675</v>
      </c>
      <c r="B525" t="s">
        <v>153</v>
      </c>
      <c r="C525" t="s">
        <v>33</v>
      </c>
      <c r="D525" s="1" t="s">
        <v>1195</v>
      </c>
      <c r="E525" t="s">
        <v>1715</v>
      </c>
      <c r="F525" t="s">
        <v>75</v>
      </c>
      <c r="G525" t="s">
        <v>12</v>
      </c>
      <c r="H525" t="s">
        <v>2235</v>
      </c>
      <c r="I525" t="s">
        <v>154</v>
      </c>
      <c r="J525" t="s">
        <v>2755</v>
      </c>
      <c r="K525" t="s">
        <v>5</v>
      </c>
      <c r="L525" s="1">
        <v>8</v>
      </c>
      <c r="M525" s="30">
        <v>0.75903614457831325</v>
      </c>
      <c r="N525" s="11" t="s">
        <v>6</v>
      </c>
      <c r="O525" s="1">
        <v>83</v>
      </c>
      <c r="P525" s="1">
        <v>63</v>
      </c>
    </row>
    <row r="526" spans="1:18" x14ac:dyDescent="0.25">
      <c r="A526" t="s">
        <v>676</v>
      </c>
      <c r="B526" t="s">
        <v>45</v>
      </c>
      <c r="C526" t="s">
        <v>37</v>
      </c>
      <c r="D526" s="1" t="s">
        <v>1196</v>
      </c>
      <c r="E526" t="s">
        <v>1716</v>
      </c>
      <c r="F526" t="s">
        <v>34</v>
      </c>
      <c r="G526" t="s">
        <v>11</v>
      </c>
      <c r="H526" t="s">
        <v>2236</v>
      </c>
      <c r="I526" t="s">
        <v>108</v>
      </c>
      <c r="J526" t="s">
        <v>2756</v>
      </c>
      <c r="K526" t="s">
        <v>5</v>
      </c>
      <c r="L526" s="1">
        <v>6</v>
      </c>
      <c r="M526" s="28">
        <v>0.8571428571428571</v>
      </c>
      <c r="N526" s="11" t="s">
        <v>6</v>
      </c>
      <c r="O526" s="1">
        <v>63</v>
      </c>
      <c r="P526" s="1">
        <v>54</v>
      </c>
      <c r="R526" t="s">
        <v>40</v>
      </c>
    </row>
    <row r="527" spans="1:18" x14ac:dyDescent="0.25">
      <c r="A527" t="s">
        <v>677</v>
      </c>
      <c r="B527" t="s">
        <v>109</v>
      </c>
      <c r="C527" t="s">
        <v>85</v>
      </c>
      <c r="D527" s="1" t="s">
        <v>1197</v>
      </c>
      <c r="E527" t="s">
        <v>1717</v>
      </c>
      <c r="F527" t="s">
        <v>34</v>
      </c>
      <c r="G527" t="s">
        <v>9</v>
      </c>
      <c r="H527" t="s">
        <v>2237</v>
      </c>
      <c r="I527" t="s">
        <v>50</v>
      </c>
      <c r="J527" t="s">
        <v>2757</v>
      </c>
      <c r="K527" t="s">
        <v>5</v>
      </c>
      <c r="L527" s="1">
        <v>8</v>
      </c>
      <c r="M527" s="30">
        <v>0.60240963855421692</v>
      </c>
      <c r="N527" s="11" t="s">
        <v>6</v>
      </c>
      <c r="O527" s="1">
        <v>83</v>
      </c>
      <c r="P527" s="1">
        <v>50</v>
      </c>
    </row>
  </sheetData>
  <autoFilter ref="A7:R527" xr:uid="{00000000-0001-0000-0000-000000000000}"/>
  <conditionalFormatting sqref="A378:A458 A137 A139:A376 A460:A523 A8:A135">
    <cfRule type="duplicateValues" dxfId="11" priority="174"/>
  </conditionalFormatting>
  <conditionalFormatting sqref="A378:A458 A137 A139:A376 A460:A1048576 A1:A135">
    <cfRule type="duplicateValues" dxfId="10" priority="5"/>
    <cfRule type="duplicateValues" dxfId="9" priority="7"/>
  </conditionalFormatting>
  <conditionalFormatting sqref="B17">
    <cfRule type="duplicateValues" dxfId="8" priority="1"/>
    <cfRule type="duplicateValues" dxfId="7" priority="2"/>
    <cfRule type="duplicateValues" dxfId="6" priority="3"/>
  </conditionalFormatting>
  <hyperlinks>
    <hyperlink ref="A6" location="Análise!A1" display="Análise dinâmica" xr:uid="{F4FE9C99-1AAD-479C-8BEC-9D80E49D0015}"/>
  </hyperlinks>
  <pageMargins left="0.511811024" right="0.511811024" top="0.78740157499999996" bottom="0.78740157499999996" header="0.31496062000000002" footer="0.31496062000000002"/>
  <headerFooter>
    <oddFooter>&amp;C_x000D_&amp;1#&amp;"Aptos"&amp;9&amp;K000000 [M. Dias Branco - Interno]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5E25-88AF-4C7F-9A97-7192C1AB44D1}">
  <dimension ref="A1:J530"/>
  <sheetViews>
    <sheetView workbookViewId="0">
      <selection activeCell="A16" sqref="A16"/>
    </sheetView>
  </sheetViews>
  <sheetFormatPr defaultRowHeight="15.75" x14ac:dyDescent="0.25"/>
  <cols>
    <col min="1" max="1" width="21.25" bestFit="1" customWidth="1"/>
    <col min="2" max="2" width="9.375" bestFit="1" customWidth="1"/>
    <col min="3" max="3" width="8.875" bestFit="1" customWidth="1"/>
    <col min="4" max="4" width="11.625" bestFit="1" customWidth="1"/>
    <col min="5" max="5" width="10.25" bestFit="1" customWidth="1"/>
    <col min="8" max="8" width="46.125" customWidth="1"/>
  </cols>
  <sheetData>
    <row r="1" spans="1:10" x14ac:dyDescent="0.25">
      <c r="H1" t="str">
        <f>A4</f>
        <v>GERÊNCIA CORPORATIVA DE CUSTOMER SERVICE</v>
      </c>
      <c r="J1" s="20">
        <f>COUNTIFS(Relatorio!G:G,Meta_Corp!H1,Relatorio!N:N,"Concluído")/COUNTIF(Relatorio!G:G,H1)</f>
        <v>0.65573770491803274</v>
      </c>
    </row>
    <row r="2" spans="1:10" x14ac:dyDescent="0.25">
      <c r="J2" s="20"/>
    </row>
    <row r="3" spans="1:10" x14ac:dyDescent="0.25">
      <c r="A3" s="9" t="s">
        <v>4</v>
      </c>
    </row>
    <row r="4" spans="1:10" x14ac:dyDescent="0.25">
      <c r="A4" s="7" t="s">
        <v>8</v>
      </c>
    </row>
    <row r="5" spans="1:10" x14ac:dyDescent="0.25">
      <c r="A5" s="7" t="s">
        <v>9</v>
      </c>
    </row>
    <row r="6" spans="1:10" x14ac:dyDescent="0.25">
      <c r="A6" s="7" t="s">
        <v>10</v>
      </c>
    </row>
    <row r="7" spans="1:10" x14ac:dyDescent="0.25">
      <c r="A7" s="7" t="s">
        <v>11</v>
      </c>
    </row>
    <row r="8" spans="1:10" x14ac:dyDescent="0.25">
      <c r="A8" s="7" t="s">
        <v>12</v>
      </c>
    </row>
    <row r="9" spans="1:10" x14ac:dyDescent="0.25">
      <c r="A9" s="7" t="s">
        <v>7</v>
      </c>
    </row>
    <row r="15" spans="1:10" x14ac:dyDescent="0.25">
      <c r="A15" s="9" t="s">
        <v>4</v>
      </c>
    </row>
    <row r="16" spans="1:10" x14ac:dyDescent="0.25">
      <c r="A16" s="7" t="s">
        <v>1718</v>
      </c>
    </row>
    <row r="17" spans="1:1" x14ac:dyDescent="0.25">
      <c r="A17" s="7" t="s">
        <v>1719</v>
      </c>
    </row>
    <row r="18" spans="1:1" x14ac:dyDescent="0.25">
      <c r="A18" s="7" t="s">
        <v>1720</v>
      </c>
    </row>
    <row r="19" spans="1:1" x14ac:dyDescent="0.25">
      <c r="A19" s="7" t="s">
        <v>1721</v>
      </c>
    </row>
    <row r="20" spans="1:1" x14ac:dyDescent="0.25">
      <c r="A20" s="7" t="s">
        <v>1722</v>
      </c>
    </row>
    <row r="21" spans="1:1" x14ac:dyDescent="0.25">
      <c r="A21" s="7" t="s">
        <v>1723</v>
      </c>
    </row>
    <row r="22" spans="1:1" x14ac:dyDescent="0.25">
      <c r="A22" s="7" t="s">
        <v>1724</v>
      </c>
    </row>
    <row r="23" spans="1:1" x14ac:dyDescent="0.25">
      <c r="A23" s="7" t="s">
        <v>1725</v>
      </c>
    </row>
    <row r="24" spans="1:1" x14ac:dyDescent="0.25">
      <c r="A24" s="7" t="s">
        <v>1726</v>
      </c>
    </row>
    <row r="25" spans="1:1" x14ac:dyDescent="0.25">
      <c r="A25" s="7" t="s">
        <v>1727</v>
      </c>
    </row>
    <row r="26" spans="1:1" x14ac:dyDescent="0.25">
      <c r="A26" s="7" t="s">
        <v>1728</v>
      </c>
    </row>
    <row r="27" spans="1:1" x14ac:dyDescent="0.25">
      <c r="A27" s="7" t="s">
        <v>1729</v>
      </c>
    </row>
    <row r="28" spans="1:1" x14ac:dyDescent="0.25">
      <c r="A28" s="7" t="s">
        <v>1730</v>
      </c>
    </row>
    <row r="29" spans="1:1" x14ac:dyDescent="0.25">
      <c r="A29" s="7" t="s">
        <v>1731</v>
      </c>
    </row>
    <row r="30" spans="1:1" x14ac:dyDescent="0.25">
      <c r="A30" s="7" t="s">
        <v>1732</v>
      </c>
    </row>
    <row r="31" spans="1:1" x14ac:dyDescent="0.25">
      <c r="A31" s="7" t="s">
        <v>1733</v>
      </c>
    </row>
    <row r="32" spans="1:1" x14ac:dyDescent="0.25">
      <c r="A32" s="7" t="s">
        <v>1734</v>
      </c>
    </row>
    <row r="33" spans="1:1" x14ac:dyDescent="0.25">
      <c r="A33" s="7" t="s">
        <v>1735</v>
      </c>
    </row>
    <row r="34" spans="1:1" x14ac:dyDescent="0.25">
      <c r="A34" s="7" t="s">
        <v>1736</v>
      </c>
    </row>
    <row r="35" spans="1:1" x14ac:dyDescent="0.25">
      <c r="A35" s="7" t="s">
        <v>1737</v>
      </c>
    </row>
    <row r="36" spans="1:1" x14ac:dyDescent="0.25">
      <c r="A36" s="7" t="s">
        <v>1738</v>
      </c>
    </row>
    <row r="37" spans="1:1" x14ac:dyDescent="0.25">
      <c r="A37" s="7" t="s">
        <v>1739</v>
      </c>
    </row>
    <row r="38" spans="1:1" x14ac:dyDescent="0.25">
      <c r="A38" s="7" t="s">
        <v>1740</v>
      </c>
    </row>
    <row r="39" spans="1:1" x14ac:dyDescent="0.25">
      <c r="A39" s="7" t="s">
        <v>1741</v>
      </c>
    </row>
    <row r="40" spans="1:1" x14ac:dyDescent="0.25">
      <c r="A40" s="7" t="s">
        <v>1742</v>
      </c>
    </row>
    <row r="41" spans="1:1" x14ac:dyDescent="0.25">
      <c r="A41" s="7" t="s">
        <v>1743</v>
      </c>
    </row>
    <row r="42" spans="1:1" x14ac:dyDescent="0.25">
      <c r="A42" s="7" t="s">
        <v>1744</v>
      </c>
    </row>
    <row r="43" spans="1:1" x14ac:dyDescent="0.25">
      <c r="A43" s="7" t="s">
        <v>1745</v>
      </c>
    </row>
    <row r="44" spans="1:1" x14ac:dyDescent="0.25">
      <c r="A44" s="7" t="s">
        <v>1746</v>
      </c>
    </row>
    <row r="45" spans="1:1" x14ac:dyDescent="0.25">
      <c r="A45" s="7" t="s">
        <v>1747</v>
      </c>
    </row>
    <row r="46" spans="1:1" x14ac:dyDescent="0.25">
      <c r="A46" s="7" t="s">
        <v>1748</v>
      </c>
    </row>
    <row r="47" spans="1:1" x14ac:dyDescent="0.25">
      <c r="A47" s="7" t="s">
        <v>1749</v>
      </c>
    </row>
    <row r="48" spans="1:1" x14ac:dyDescent="0.25">
      <c r="A48" s="7" t="s">
        <v>1750</v>
      </c>
    </row>
    <row r="49" spans="1:1" x14ac:dyDescent="0.25">
      <c r="A49" s="7" t="s">
        <v>1751</v>
      </c>
    </row>
    <row r="50" spans="1:1" x14ac:dyDescent="0.25">
      <c r="A50" s="7" t="s">
        <v>1752</v>
      </c>
    </row>
    <row r="51" spans="1:1" x14ac:dyDescent="0.25">
      <c r="A51" s="7" t="s">
        <v>1753</v>
      </c>
    </row>
    <row r="52" spans="1:1" x14ac:dyDescent="0.25">
      <c r="A52" s="7" t="s">
        <v>1754</v>
      </c>
    </row>
    <row r="53" spans="1:1" x14ac:dyDescent="0.25">
      <c r="A53" s="7" t="s">
        <v>1755</v>
      </c>
    </row>
    <row r="54" spans="1:1" x14ac:dyDescent="0.25">
      <c r="A54" s="7" t="s">
        <v>1756</v>
      </c>
    </row>
    <row r="55" spans="1:1" x14ac:dyDescent="0.25">
      <c r="A55" s="7" t="s">
        <v>1757</v>
      </c>
    </row>
    <row r="56" spans="1:1" x14ac:dyDescent="0.25">
      <c r="A56" s="7" t="s">
        <v>1758</v>
      </c>
    </row>
    <row r="57" spans="1:1" x14ac:dyDescent="0.25">
      <c r="A57" s="7" t="s">
        <v>1759</v>
      </c>
    </row>
    <row r="58" spans="1:1" x14ac:dyDescent="0.25">
      <c r="A58" s="7" t="s">
        <v>1760</v>
      </c>
    </row>
    <row r="59" spans="1:1" x14ac:dyDescent="0.25">
      <c r="A59" s="7" t="s">
        <v>1761</v>
      </c>
    </row>
    <row r="60" spans="1:1" x14ac:dyDescent="0.25">
      <c r="A60" s="7" t="s">
        <v>1762</v>
      </c>
    </row>
    <row r="61" spans="1:1" x14ac:dyDescent="0.25">
      <c r="A61" s="7" t="s">
        <v>1763</v>
      </c>
    </row>
    <row r="62" spans="1:1" x14ac:dyDescent="0.25">
      <c r="A62" s="7" t="s">
        <v>1764</v>
      </c>
    </row>
    <row r="63" spans="1:1" x14ac:dyDescent="0.25">
      <c r="A63" s="7" t="s">
        <v>1765</v>
      </c>
    </row>
    <row r="64" spans="1:1" x14ac:dyDescent="0.25">
      <c r="A64" s="7" t="s">
        <v>1766</v>
      </c>
    </row>
    <row r="65" spans="1:1" x14ac:dyDescent="0.25">
      <c r="A65" s="7" t="s">
        <v>1767</v>
      </c>
    </row>
    <row r="66" spans="1:1" x14ac:dyDescent="0.25">
      <c r="A66" s="7" t="s">
        <v>1768</v>
      </c>
    </row>
    <row r="67" spans="1:1" x14ac:dyDescent="0.25">
      <c r="A67" s="7" t="s">
        <v>1769</v>
      </c>
    </row>
    <row r="68" spans="1:1" x14ac:dyDescent="0.25">
      <c r="A68" s="7" t="s">
        <v>1770</v>
      </c>
    </row>
    <row r="69" spans="1:1" x14ac:dyDescent="0.25">
      <c r="A69" s="7" t="s">
        <v>1771</v>
      </c>
    </row>
    <row r="70" spans="1:1" x14ac:dyDescent="0.25">
      <c r="A70" s="7" t="s">
        <v>1772</v>
      </c>
    </row>
    <row r="71" spans="1:1" x14ac:dyDescent="0.25">
      <c r="A71" s="7" t="s">
        <v>1773</v>
      </c>
    </row>
    <row r="72" spans="1:1" x14ac:dyDescent="0.25">
      <c r="A72" s="7" t="s">
        <v>1774</v>
      </c>
    </row>
    <row r="73" spans="1:1" x14ac:dyDescent="0.25">
      <c r="A73" s="7" t="s">
        <v>1775</v>
      </c>
    </row>
    <row r="74" spans="1:1" x14ac:dyDescent="0.25">
      <c r="A74" s="7" t="s">
        <v>1776</v>
      </c>
    </row>
    <row r="75" spans="1:1" x14ac:dyDescent="0.25">
      <c r="A75" s="7" t="s">
        <v>1777</v>
      </c>
    </row>
    <row r="76" spans="1:1" x14ac:dyDescent="0.25">
      <c r="A76" s="7" t="s">
        <v>1778</v>
      </c>
    </row>
    <row r="77" spans="1:1" x14ac:dyDescent="0.25">
      <c r="A77" s="7" t="s">
        <v>1779</v>
      </c>
    </row>
    <row r="78" spans="1:1" x14ac:dyDescent="0.25">
      <c r="A78" s="7" t="s">
        <v>1780</v>
      </c>
    </row>
    <row r="79" spans="1:1" x14ac:dyDescent="0.25">
      <c r="A79" s="7" t="s">
        <v>1781</v>
      </c>
    </row>
    <row r="80" spans="1:1" x14ac:dyDescent="0.25">
      <c r="A80" s="7" t="s">
        <v>1782</v>
      </c>
    </row>
    <row r="81" spans="1:1" x14ac:dyDescent="0.25">
      <c r="A81" s="7" t="s">
        <v>1783</v>
      </c>
    </row>
    <row r="82" spans="1:1" x14ac:dyDescent="0.25">
      <c r="A82" s="7" t="s">
        <v>1784</v>
      </c>
    </row>
    <row r="83" spans="1:1" x14ac:dyDescent="0.25">
      <c r="A83" s="7" t="s">
        <v>1785</v>
      </c>
    </row>
    <row r="84" spans="1:1" x14ac:dyDescent="0.25">
      <c r="A84" s="7" t="s">
        <v>1786</v>
      </c>
    </row>
    <row r="85" spans="1:1" x14ac:dyDescent="0.25">
      <c r="A85" s="7" t="s">
        <v>1787</v>
      </c>
    </row>
    <row r="86" spans="1:1" x14ac:dyDescent="0.25">
      <c r="A86" s="7" t="s">
        <v>1788</v>
      </c>
    </row>
    <row r="87" spans="1:1" x14ac:dyDescent="0.25">
      <c r="A87" s="7" t="s">
        <v>1789</v>
      </c>
    </row>
    <row r="88" spans="1:1" x14ac:dyDescent="0.25">
      <c r="A88" s="7" t="s">
        <v>1790</v>
      </c>
    </row>
    <row r="89" spans="1:1" x14ac:dyDescent="0.25">
      <c r="A89" s="7" t="s">
        <v>1791</v>
      </c>
    </row>
    <row r="90" spans="1:1" x14ac:dyDescent="0.25">
      <c r="A90" s="7" t="s">
        <v>1792</v>
      </c>
    </row>
    <row r="91" spans="1:1" x14ac:dyDescent="0.25">
      <c r="A91" s="7" t="s">
        <v>1793</v>
      </c>
    </row>
    <row r="92" spans="1:1" x14ac:dyDescent="0.25">
      <c r="A92" s="7" t="s">
        <v>1794</v>
      </c>
    </row>
    <row r="93" spans="1:1" x14ac:dyDescent="0.25">
      <c r="A93" s="7" t="s">
        <v>1795</v>
      </c>
    </row>
    <row r="94" spans="1:1" x14ac:dyDescent="0.25">
      <c r="A94" s="7" t="s">
        <v>1796</v>
      </c>
    </row>
    <row r="95" spans="1:1" x14ac:dyDescent="0.25">
      <c r="A95" s="7" t="s">
        <v>1797</v>
      </c>
    </row>
    <row r="96" spans="1:1" x14ac:dyDescent="0.25">
      <c r="A96" s="7" t="s">
        <v>1798</v>
      </c>
    </row>
    <row r="97" spans="1:1" x14ac:dyDescent="0.25">
      <c r="A97" s="7" t="s">
        <v>1799</v>
      </c>
    </row>
    <row r="98" spans="1:1" x14ac:dyDescent="0.25">
      <c r="A98" s="7" t="s">
        <v>1800</v>
      </c>
    </row>
    <row r="99" spans="1:1" x14ac:dyDescent="0.25">
      <c r="A99" s="7" t="s">
        <v>1801</v>
      </c>
    </row>
    <row r="100" spans="1:1" x14ac:dyDescent="0.25">
      <c r="A100" s="7" t="s">
        <v>1802</v>
      </c>
    </row>
    <row r="101" spans="1:1" x14ac:dyDescent="0.25">
      <c r="A101" s="7" t="s">
        <v>1803</v>
      </c>
    </row>
    <row r="102" spans="1:1" x14ac:dyDescent="0.25">
      <c r="A102" s="7" t="s">
        <v>1804</v>
      </c>
    </row>
    <row r="103" spans="1:1" x14ac:dyDescent="0.25">
      <c r="A103" s="7" t="s">
        <v>1805</v>
      </c>
    </row>
    <row r="104" spans="1:1" x14ac:dyDescent="0.25">
      <c r="A104" s="7" t="s">
        <v>1806</v>
      </c>
    </row>
    <row r="105" spans="1:1" x14ac:dyDescent="0.25">
      <c r="A105" s="7" t="s">
        <v>1807</v>
      </c>
    </row>
    <row r="106" spans="1:1" x14ac:dyDescent="0.25">
      <c r="A106" s="7" t="s">
        <v>1808</v>
      </c>
    </row>
    <row r="107" spans="1:1" x14ac:dyDescent="0.25">
      <c r="A107" s="7" t="s">
        <v>1809</v>
      </c>
    </row>
    <row r="108" spans="1:1" x14ac:dyDescent="0.25">
      <c r="A108" s="7" t="s">
        <v>1810</v>
      </c>
    </row>
    <row r="109" spans="1:1" x14ac:dyDescent="0.25">
      <c r="A109" s="7" t="s">
        <v>1811</v>
      </c>
    </row>
    <row r="110" spans="1:1" x14ac:dyDescent="0.25">
      <c r="A110" s="7" t="s">
        <v>1812</v>
      </c>
    </row>
    <row r="111" spans="1:1" x14ac:dyDescent="0.25">
      <c r="A111" s="7" t="s">
        <v>1813</v>
      </c>
    </row>
    <row r="112" spans="1:1" x14ac:dyDescent="0.25">
      <c r="A112" s="7" t="s">
        <v>1814</v>
      </c>
    </row>
    <row r="113" spans="1:1" x14ac:dyDescent="0.25">
      <c r="A113" s="7" t="s">
        <v>1815</v>
      </c>
    </row>
    <row r="114" spans="1:1" x14ac:dyDescent="0.25">
      <c r="A114" s="7" t="s">
        <v>1816</v>
      </c>
    </row>
    <row r="115" spans="1:1" x14ac:dyDescent="0.25">
      <c r="A115" s="7" t="s">
        <v>1817</v>
      </c>
    </row>
    <row r="116" spans="1:1" x14ac:dyDescent="0.25">
      <c r="A116" s="7" t="s">
        <v>1818</v>
      </c>
    </row>
    <row r="117" spans="1:1" x14ac:dyDescent="0.25">
      <c r="A117" s="7" t="s">
        <v>1819</v>
      </c>
    </row>
    <row r="118" spans="1:1" x14ac:dyDescent="0.25">
      <c r="A118" s="7" t="s">
        <v>1820</v>
      </c>
    </row>
    <row r="119" spans="1:1" x14ac:dyDescent="0.25">
      <c r="A119" s="7" t="s">
        <v>1821</v>
      </c>
    </row>
    <row r="120" spans="1:1" x14ac:dyDescent="0.25">
      <c r="A120" s="7" t="s">
        <v>1822</v>
      </c>
    </row>
    <row r="121" spans="1:1" x14ac:dyDescent="0.25">
      <c r="A121" s="7" t="s">
        <v>1823</v>
      </c>
    </row>
    <row r="122" spans="1:1" x14ac:dyDescent="0.25">
      <c r="A122" s="7" t="s">
        <v>1824</v>
      </c>
    </row>
    <row r="123" spans="1:1" x14ac:dyDescent="0.25">
      <c r="A123" s="7" t="s">
        <v>1825</v>
      </c>
    </row>
    <row r="124" spans="1:1" x14ac:dyDescent="0.25">
      <c r="A124" s="7" t="s">
        <v>1826</v>
      </c>
    </row>
    <row r="125" spans="1:1" x14ac:dyDescent="0.25">
      <c r="A125" s="7" t="s">
        <v>1827</v>
      </c>
    </row>
    <row r="126" spans="1:1" x14ac:dyDescent="0.25">
      <c r="A126" s="7" t="s">
        <v>1828</v>
      </c>
    </row>
    <row r="127" spans="1:1" x14ac:dyDescent="0.25">
      <c r="A127" s="7" t="s">
        <v>1829</v>
      </c>
    </row>
    <row r="128" spans="1:1" x14ac:dyDescent="0.25">
      <c r="A128" s="7" t="s">
        <v>1830</v>
      </c>
    </row>
    <row r="129" spans="1:1" x14ac:dyDescent="0.25">
      <c r="A129" s="7" t="s">
        <v>1831</v>
      </c>
    </row>
    <row r="130" spans="1:1" x14ac:dyDescent="0.25">
      <c r="A130" s="7" t="s">
        <v>1832</v>
      </c>
    </row>
    <row r="131" spans="1:1" x14ac:dyDescent="0.25">
      <c r="A131" s="7" t="s">
        <v>1833</v>
      </c>
    </row>
    <row r="132" spans="1:1" x14ac:dyDescent="0.25">
      <c r="A132" s="7" t="s">
        <v>1834</v>
      </c>
    </row>
    <row r="133" spans="1:1" x14ac:dyDescent="0.25">
      <c r="A133" s="7" t="s">
        <v>1835</v>
      </c>
    </row>
    <row r="134" spans="1:1" x14ac:dyDescent="0.25">
      <c r="A134" s="7" t="s">
        <v>1836</v>
      </c>
    </row>
    <row r="135" spans="1:1" x14ac:dyDescent="0.25">
      <c r="A135" s="7" t="s">
        <v>1837</v>
      </c>
    </row>
    <row r="136" spans="1:1" x14ac:dyDescent="0.25">
      <c r="A136" s="7" t="s">
        <v>1838</v>
      </c>
    </row>
    <row r="137" spans="1:1" x14ac:dyDescent="0.25">
      <c r="A137" s="7" t="s">
        <v>1839</v>
      </c>
    </row>
    <row r="138" spans="1:1" x14ac:dyDescent="0.25">
      <c r="A138" s="7" t="s">
        <v>1840</v>
      </c>
    </row>
    <row r="139" spans="1:1" x14ac:dyDescent="0.25">
      <c r="A139" s="7" t="s">
        <v>1841</v>
      </c>
    </row>
    <row r="140" spans="1:1" x14ac:dyDescent="0.25">
      <c r="A140" s="7" t="s">
        <v>1842</v>
      </c>
    </row>
    <row r="141" spans="1:1" x14ac:dyDescent="0.25">
      <c r="A141" s="7" t="s">
        <v>1843</v>
      </c>
    </row>
    <row r="142" spans="1:1" x14ac:dyDescent="0.25">
      <c r="A142" s="7" t="s">
        <v>1844</v>
      </c>
    </row>
    <row r="143" spans="1:1" x14ac:dyDescent="0.25">
      <c r="A143" s="7" t="s">
        <v>1845</v>
      </c>
    </row>
    <row r="144" spans="1:1" x14ac:dyDescent="0.25">
      <c r="A144" s="7" t="s">
        <v>1846</v>
      </c>
    </row>
    <row r="145" spans="1:1" x14ac:dyDescent="0.25">
      <c r="A145" s="7" t="s">
        <v>1847</v>
      </c>
    </row>
    <row r="146" spans="1:1" x14ac:dyDescent="0.25">
      <c r="A146" s="7" t="s">
        <v>1848</v>
      </c>
    </row>
    <row r="147" spans="1:1" x14ac:dyDescent="0.25">
      <c r="A147" s="7" t="s">
        <v>1849</v>
      </c>
    </row>
    <row r="148" spans="1:1" x14ac:dyDescent="0.25">
      <c r="A148" s="7" t="s">
        <v>1850</v>
      </c>
    </row>
    <row r="149" spans="1:1" x14ac:dyDescent="0.25">
      <c r="A149" s="7" t="s">
        <v>1851</v>
      </c>
    </row>
    <row r="150" spans="1:1" x14ac:dyDescent="0.25">
      <c r="A150" s="7" t="s">
        <v>1852</v>
      </c>
    </row>
    <row r="151" spans="1:1" x14ac:dyDescent="0.25">
      <c r="A151" s="7" t="s">
        <v>1853</v>
      </c>
    </row>
    <row r="152" spans="1:1" x14ac:dyDescent="0.25">
      <c r="A152" s="7" t="s">
        <v>1854</v>
      </c>
    </row>
    <row r="153" spans="1:1" x14ac:dyDescent="0.25">
      <c r="A153" s="7" t="s">
        <v>1855</v>
      </c>
    </row>
    <row r="154" spans="1:1" x14ac:dyDescent="0.25">
      <c r="A154" s="7" t="s">
        <v>1856</v>
      </c>
    </row>
    <row r="155" spans="1:1" x14ac:dyDescent="0.25">
      <c r="A155" s="7" t="s">
        <v>1857</v>
      </c>
    </row>
    <row r="156" spans="1:1" x14ac:dyDescent="0.25">
      <c r="A156" s="7" t="s">
        <v>1858</v>
      </c>
    </row>
    <row r="157" spans="1:1" x14ac:dyDescent="0.25">
      <c r="A157" s="7" t="s">
        <v>1859</v>
      </c>
    </row>
    <row r="158" spans="1:1" x14ac:dyDescent="0.25">
      <c r="A158" s="7" t="s">
        <v>1860</v>
      </c>
    </row>
    <row r="159" spans="1:1" x14ac:dyDescent="0.25">
      <c r="A159" s="7" t="s">
        <v>1861</v>
      </c>
    </row>
    <row r="160" spans="1:1" x14ac:dyDescent="0.25">
      <c r="A160" s="7" t="s">
        <v>1862</v>
      </c>
    </row>
    <row r="161" spans="1:1" x14ac:dyDescent="0.25">
      <c r="A161" s="7" t="s">
        <v>1863</v>
      </c>
    </row>
    <row r="162" spans="1:1" x14ac:dyDescent="0.25">
      <c r="A162" s="7" t="s">
        <v>1864</v>
      </c>
    </row>
    <row r="163" spans="1:1" x14ac:dyDescent="0.25">
      <c r="A163" s="7" t="s">
        <v>1865</v>
      </c>
    </row>
    <row r="164" spans="1:1" x14ac:dyDescent="0.25">
      <c r="A164" s="7" t="s">
        <v>1866</v>
      </c>
    </row>
    <row r="165" spans="1:1" x14ac:dyDescent="0.25">
      <c r="A165" s="7" t="s">
        <v>1867</v>
      </c>
    </row>
    <row r="166" spans="1:1" x14ac:dyDescent="0.25">
      <c r="A166" s="7" t="s">
        <v>1868</v>
      </c>
    </row>
    <row r="167" spans="1:1" x14ac:dyDescent="0.25">
      <c r="A167" s="7" t="s">
        <v>1869</v>
      </c>
    </row>
    <row r="168" spans="1:1" x14ac:dyDescent="0.25">
      <c r="A168" s="7" t="s">
        <v>1870</v>
      </c>
    </row>
    <row r="169" spans="1:1" x14ac:dyDescent="0.25">
      <c r="A169" s="7" t="s">
        <v>1871</v>
      </c>
    </row>
    <row r="170" spans="1:1" x14ac:dyDescent="0.25">
      <c r="A170" s="7" t="s">
        <v>1872</v>
      </c>
    </row>
    <row r="171" spans="1:1" x14ac:dyDescent="0.25">
      <c r="A171" s="7" t="s">
        <v>1873</v>
      </c>
    </row>
    <row r="172" spans="1:1" x14ac:dyDescent="0.25">
      <c r="A172" s="7" t="s">
        <v>1874</v>
      </c>
    </row>
    <row r="173" spans="1:1" x14ac:dyDescent="0.25">
      <c r="A173" s="7" t="s">
        <v>1875</v>
      </c>
    </row>
    <row r="174" spans="1:1" x14ac:dyDescent="0.25">
      <c r="A174" s="7" t="s">
        <v>1876</v>
      </c>
    </row>
    <row r="175" spans="1:1" x14ac:dyDescent="0.25">
      <c r="A175" s="7" t="s">
        <v>1877</v>
      </c>
    </row>
    <row r="176" spans="1:1" x14ac:dyDescent="0.25">
      <c r="A176" s="7" t="s">
        <v>1878</v>
      </c>
    </row>
    <row r="177" spans="1:1" x14ac:dyDescent="0.25">
      <c r="A177" s="7" t="s">
        <v>1879</v>
      </c>
    </row>
    <row r="178" spans="1:1" x14ac:dyDescent="0.25">
      <c r="A178" s="7" t="s">
        <v>1880</v>
      </c>
    </row>
    <row r="179" spans="1:1" x14ac:dyDescent="0.25">
      <c r="A179" s="7" t="s">
        <v>1881</v>
      </c>
    </row>
    <row r="180" spans="1:1" x14ac:dyDescent="0.25">
      <c r="A180" s="7" t="s">
        <v>1882</v>
      </c>
    </row>
    <row r="181" spans="1:1" x14ac:dyDescent="0.25">
      <c r="A181" s="7" t="s">
        <v>1883</v>
      </c>
    </row>
    <row r="182" spans="1:1" x14ac:dyDescent="0.25">
      <c r="A182" s="7" t="s">
        <v>1884</v>
      </c>
    </row>
    <row r="183" spans="1:1" x14ac:dyDescent="0.25">
      <c r="A183" s="7" t="s">
        <v>1885</v>
      </c>
    </row>
    <row r="184" spans="1:1" x14ac:dyDescent="0.25">
      <c r="A184" s="7" t="s">
        <v>1886</v>
      </c>
    </row>
    <row r="185" spans="1:1" x14ac:dyDescent="0.25">
      <c r="A185" s="7" t="s">
        <v>1887</v>
      </c>
    </row>
    <row r="186" spans="1:1" x14ac:dyDescent="0.25">
      <c r="A186" s="7" t="s">
        <v>1888</v>
      </c>
    </row>
    <row r="187" spans="1:1" x14ac:dyDescent="0.25">
      <c r="A187" s="7" t="s">
        <v>1889</v>
      </c>
    </row>
    <row r="188" spans="1:1" x14ac:dyDescent="0.25">
      <c r="A188" s="7" t="s">
        <v>1890</v>
      </c>
    </row>
    <row r="189" spans="1:1" x14ac:dyDescent="0.25">
      <c r="A189" s="7" t="s">
        <v>1891</v>
      </c>
    </row>
    <row r="190" spans="1:1" x14ac:dyDescent="0.25">
      <c r="A190" s="7" t="s">
        <v>1892</v>
      </c>
    </row>
    <row r="191" spans="1:1" x14ac:dyDescent="0.25">
      <c r="A191" s="7" t="s">
        <v>1893</v>
      </c>
    </row>
    <row r="192" spans="1:1" x14ac:dyDescent="0.25">
      <c r="A192" s="7" t="s">
        <v>1894</v>
      </c>
    </row>
    <row r="193" spans="1:1" x14ac:dyDescent="0.25">
      <c r="A193" s="7" t="s">
        <v>1895</v>
      </c>
    </row>
    <row r="194" spans="1:1" x14ac:dyDescent="0.25">
      <c r="A194" s="7" t="s">
        <v>1896</v>
      </c>
    </row>
    <row r="195" spans="1:1" x14ac:dyDescent="0.25">
      <c r="A195" s="7" t="s">
        <v>1897</v>
      </c>
    </row>
    <row r="196" spans="1:1" x14ac:dyDescent="0.25">
      <c r="A196" s="7" t="s">
        <v>1898</v>
      </c>
    </row>
    <row r="197" spans="1:1" x14ac:dyDescent="0.25">
      <c r="A197" s="7" t="s">
        <v>1899</v>
      </c>
    </row>
    <row r="198" spans="1:1" x14ac:dyDescent="0.25">
      <c r="A198" s="7" t="s">
        <v>1900</v>
      </c>
    </row>
    <row r="199" spans="1:1" x14ac:dyDescent="0.25">
      <c r="A199" s="7" t="s">
        <v>1901</v>
      </c>
    </row>
    <row r="200" spans="1:1" x14ac:dyDescent="0.25">
      <c r="A200" s="7" t="s">
        <v>1902</v>
      </c>
    </row>
    <row r="201" spans="1:1" x14ac:dyDescent="0.25">
      <c r="A201" s="7" t="s">
        <v>1903</v>
      </c>
    </row>
    <row r="202" spans="1:1" x14ac:dyDescent="0.25">
      <c r="A202" s="7" t="s">
        <v>1904</v>
      </c>
    </row>
    <row r="203" spans="1:1" x14ac:dyDescent="0.25">
      <c r="A203" s="7" t="s">
        <v>1905</v>
      </c>
    </row>
    <row r="204" spans="1:1" x14ac:dyDescent="0.25">
      <c r="A204" s="7" t="s">
        <v>1906</v>
      </c>
    </row>
    <row r="205" spans="1:1" x14ac:dyDescent="0.25">
      <c r="A205" s="7" t="s">
        <v>1907</v>
      </c>
    </row>
    <row r="206" spans="1:1" x14ac:dyDescent="0.25">
      <c r="A206" s="7" t="s">
        <v>1908</v>
      </c>
    </row>
    <row r="207" spans="1:1" x14ac:dyDescent="0.25">
      <c r="A207" s="7" t="s">
        <v>1909</v>
      </c>
    </row>
    <row r="208" spans="1:1" x14ac:dyDescent="0.25">
      <c r="A208" s="7" t="s">
        <v>1910</v>
      </c>
    </row>
    <row r="209" spans="1:1" x14ac:dyDescent="0.25">
      <c r="A209" s="7" t="s">
        <v>1911</v>
      </c>
    </row>
    <row r="210" spans="1:1" x14ac:dyDescent="0.25">
      <c r="A210" s="7" t="s">
        <v>1912</v>
      </c>
    </row>
    <row r="211" spans="1:1" x14ac:dyDescent="0.25">
      <c r="A211" s="7" t="s">
        <v>1913</v>
      </c>
    </row>
    <row r="212" spans="1:1" x14ac:dyDescent="0.25">
      <c r="A212" s="7" t="s">
        <v>1914</v>
      </c>
    </row>
    <row r="213" spans="1:1" x14ac:dyDescent="0.25">
      <c r="A213" s="7" t="s">
        <v>1915</v>
      </c>
    </row>
    <row r="214" spans="1:1" x14ac:dyDescent="0.25">
      <c r="A214" s="7" t="s">
        <v>1916</v>
      </c>
    </row>
    <row r="215" spans="1:1" x14ac:dyDescent="0.25">
      <c r="A215" s="7" t="s">
        <v>1917</v>
      </c>
    </row>
    <row r="216" spans="1:1" x14ac:dyDescent="0.25">
      <c r="A216" s="7" t="s">
        <v>1918</v>
      </c>
    </row>
    <row r="217" spans="1:1" x14ac:dyDescent="0.25">
      <c r="A217" s="7" t="s">
        <v>1919</v>
      </c>
    </row>
    <row r="218" spans="1:1" x14ac:dyDescent="0.25">
      <c r="A218" s="7" t="s">
        <v>1920</v>
      </c>
    </row>
    <row r="219" spans="1:1" x14ac:dyDescent="0.25">
      <c r="A219" s="7" t="s">
        <v>1921</v>
      </c>
    </row>
    <row r="220" spans="1:1" x14ac:dyDescent="0.25">
      <c r="A220" s="7" t="s">
        <v>1922</v>
      </c>
    </row>
    <row r="221" spans="1:1" x14ac:dyDescent="0.25">
      <c r="A221" s="7" t="s">
        <v>1923</v>
      </c>
    </row>
    <row r="222" spans="1:1" x14ac:dyDescent="0.25">
      <c r="A222" s="7" t="s">
        <v>1924</v>
      </c>
    </row>
    <row r="223" spans="1:1" x14ac:dyDescent="0.25">
      <c r="A223" s="7" t="s">
        <v>1925</v>
      </c>
    </row>
    <row r="224" spans="1:1" x14ac:dyDescent="0.25">
      <c r="A224" s="7" t="s">
        <v>1926</v>
      </c>
    </row>
    <row r="225" spans="1:1" x14ac:dyDescent="0.25">
      <c r="A225" s="7" t="s">
        <v>1927</v>
      </c>
    </row>
    <row r="226" spans="1:1" x14ac:dyDescent="0.25">
      <c r="A226" s="7" t="s">
        <v>1928</v>
      </c>
    </row>
    <row r="227" spans="1:1" x14ac:dyDescent="0.25">
      <c r="A227" s="7" t="s">
        <v>1929</v>
      </c>
    </row>
    <row r="228" spans="1:1" x14ac:dyDescent="0.25">
      <c r="A228" s="7" t="s">
        <v>1930</v>
      </c>
    </row>
    <row r="229" spans="1:1" x14ac:dyDescent="0.25">
      <c r="A229" s="7" t="s">
        <v>1931</v>
      </c>
    </row>
    <row r="230" spans="1:1" x14ac:dyDescent="0.25">
      <c r="A230" s="7" t="s">
        <v>1932</v>
      </c>
    </row>
    <row r="231" spans="1:1" x14ac:dyDescent="0.25">
      <c r="A231" s="7" t="s">
        <v>1933</v>
      </c>
    </row>
    <row r="232" spans="1:1" x14ac:dyDescent="0.25">
      <c r="A232" s="7" t="s">
        <v>1934</v>
      </c>
    </row>
    <row r="233" spans="1:1" x14ac:dyDescent="0.25">
      <c r="A233" s="7" t="s">
        <v>1935</v>
      </c>
    </row>
    <row r="234" spans="1:1" x14ac:dyDescent="0.25">
      <c r="A234" s="7" t="s">
        <v>1936</v>
      </c>
    </row>
    <row r="235" spans="1:1" x14ac:dyDescent="0.25">
      <c r="A235" s="7" t="s">
        <v>1937</v>
      </c>
    </row>
    <row r="236" spans="1:1" x14ac:dyDescent="0.25">
      <c r="A236" s="7" t="s">
        <v>1938</v>
      </c>
    </row>
    <row r="237" spans="1:1" x14ac:dyDescent="0.25">
      <c r="A237" s="7" t="s">
        <v>1939</v>
      </c>
    </row>
    <row r="238" spans="1:1" x14ac:dyDescent="0.25">
      <c r="A238" s="7" t="s">
        <v>1940</v>
      </c>
    </row>
    <row r="239" spans="1:1" x14ac:dyDescent="0.25">
      <c r="A239" s="7" t="s">
        <v>1941</v>
      </c>
    </row>
    <row r="240" spans="1:1" x14ac:dyDescent="0.25">
      <c r="A240" s="7" t="s">
        <v>1942</v>
      </c>
    </row>
    <row r="241" spans="1:1" x14ac:dyDescent="0.25">
      <c r="A241" s="7" t="s">
        <v>1943</v>
      </c>
    </row>
    <row r="242" spans="1:1" x14ac:dyDescent="0.25">
      <c r="A242" s="7" t="s">
        <v>1944</v>
      </c>
    </row>
    <row r="243" spans="1:1" x14ac:dyDescent="0.25">
      <c r="A243" s="7" t="s">
        <v>1945</v>
      </c>
    </row>
    <row r="244" spans="1:1" x14ac:dyDescent="0.25">
      <c r="A244" s="7" t="s">
        <v>1946</v>
      </c>
    </row>
    <row r="245" spans="1:1" x14ac:dyDescent="0.25">
      <c r="A245" s="7" t="s">
        <v>1947</v>
      </c>
    </row>
    <row r="246" spans="1:1" x14ac:dyDescent="0.25">
      <c r="A246" s="7" t="s">
        <v>1948</v>
      </c>
    </row>
    <row r="247" spans="1:1" x14ac:dyDescent="0.25">
      <c r="A247" s="7" t="s">
        <v>1949</v>
      </c>
    </row>
    <row r="248" spans="1:1" x14ac:dyDescent="0.25">
      <c r="A248" s="7" t="s">
        <v>1950</v>
      </c>
    </row>
    <row r="249" spans="1:1" x14ac:dyDescent="0.25">
      <c r="A249" s="7" t="s">
        <v>1951</v>
      </c>
    </row>
    <row r="250" spans="1:1" x14ac:dyDescent="0.25">
      <c r="A250" s="7" t="s">
        <v>1952</v>
      </c>
    </row>
    <row r="251" spans="1:1" x14ac:dyDescent="0.25">
      <c r="A251" s="7" t="s">
        <v>1953</v>
      </c>
    </row>
    <row r="252" spans="1:1" x14ac:dyDescent="0.25">
      <c r="A252" s="7" t="s">
        <v>1954</v>
      </c>
    </row>
    <row r="253" spans="1:1" x14ac:dyDescent="0.25">
      <c r="A253" s="7" t="s">
        <v>1955</v>
      </c>
    </row>
    <row r="254" spans="1:1" x14ac:dyDescent="0.25">
      <c r="A254" s="7" t="s">
        <v>1956</v>
      </c>
    </row>
    <row r="255" spans="1:1" x14ac:dyDescent="0.25">
      <c r="A255" s="7" t="s">
        <v>1957</v>
      </c>
    </row>
    <row r="256" spans="1:1" x14ac:dyDescent="0.25">
      <c r="A256" s="7" t="s">
        <v>1958</v>
      </c>
    </row>
    <row r="257" spans="1:1" x14ac:dyDescent="0.25">
      <c r="A257" s="7" t="s">
        <v>1959</v>
      </c>
    </row>
    <row r="258" spans="1:1" x14ac:dyDescent="0.25">
      <c r="A258" s="7" t="s">
        <v>1960</v>
      </c>
    </row>
    <row r="259" spans="1:1" x14ac:dyDescent="0.25">
      <c r="A259" s="7" t="s">
        <v>1961</v>
      </c>
    </row>
    <row r="260" spans="1:1" x14ac:dyDescent="0.25">
      <c r="A260" s="7" t="s">
        <v>1962</v>
      </c>
    </row>
    <row r="261" spans="1:1" x14ac:dyDescent="0.25">
      <c r="A261" s="7" t="s">
        <v>1963</v>
      </c>
    </row>
    <row r="262" spans="1:1" x14ac:dyDescent="0.25">
      <c r="A262" s="7" t="s">
        <v>1964</v>
      </c>
    </row>
    <row r="263" spans="1:1" x14ac:dyDescent="0.25">
      <c r="A263" s="7" t="s">
        <v>1965</v>
      </c>
    </row>
    <row r="264" spans="1:1" x14ac:dyDescent="0.25">
      <c r="A264" s="7" t="s">
        <v>1966</v>
      </c>
    </row>
    <row r="265" spans="1:1" x14ac:dyDescent="0.25">
      <c r="A265" s="7" t="s">
        <v>1967</v>
      </c>
    </row>
    <row r="266" spans="1:1" x14ac:dyDescent="0.25">
      <c r="A266" s="7" t="s">
        <v>1968</v>
      </c>
    </row>
    <row r="267" spans="1:1" x14ac:dyDescent="0.25">
      <c r="A267" s="7" t="s">
        <v>1969</v>
      </c>
    </row>
    <row r="268" spans="1:1" x14ac:dyDescent="0.25">
      <c r="A268" s="7" t="s">
        <v>1970</v>
      </c>
    </row>
    <row r="269" spans="1:1" x14ac:dyDescent="0.25">
      <c r="A269" s="7" t="s">
        <v>1971</v>
      </c>
    </row>
    <row r="270" spans="1:1" x14ac:dyDescent="0.25">
      <c r="A270" s="7" t="s">
        <v>1972</v>
      </c>
    </row>
    <row r="271" spans="1:1" x14ac:dyDescent="0.25">
      <c r="A271" s="7" t="s">
        <v>1973</v>
      </c>
    </row>
    <row r="272" spans="1:1" x14ac:dyDescent="0.25">
      <c r="A272" s="7" t="s">
        <v>1974</v>
      </c>
    </row>
    <row r="273" spans="1:1" x14ac:dyDescent="0.25">
      <c r="A273" s="7" t="s">
        <v>1975</v>
      </c>
    </row>
    <row r="274" spans="1:1" x14ac:dyDescent="0.25">
      <c r="A274" s="7" t="s">
        <v>1976</v>
      </c>
    </row>
    <row r="275" spans="1:1" x14ac:dyDescent="0.25">
      <c r="A275" s="7" t="s">
        <v>1977</v>
      </c>
    </row>
    <row r="276" spans="1:1" x14ac:dyDescent="0.25">
      <c r="A276" s="7" t="s">
        <v>1978</v>
      </c>
    </row>
    <row r="277" spans="1:1" x14ac:dyDescent="0.25">
      <c r="A277" s="7" t="s">
        <v>1979</v>
      </c>
    </row>
    <row r="278" spans="1:1" x14ac:dyDescent="0.25">
      <c r="A278" s="7" t="s">
        <v>1980</v>
      </c>
    </row>
    <row r="279" spans="1:1" x14ac:dyDescent="0.25">
      <c r="A279" s="7" t="s">
        <v>1981</v>
      </c>
    </row>
    <row r="280" spans="1:1" x14ac:dyDescent="0.25">
      <c r="A280" s="7" t="s">
        <v>1982</v>
      </c>
    </row>
    <row r="281" spans="1:1" x14ac:dyDescent="0.25">
      <c r="A281" s="7" t="s">
        <v>1983</v>
      </c>
    </row>
    <row r="282" spans="1:1" x14ac:dyDescent="0.25">
      <c r="A282" s="7" t="s">
        <v>1984</v>
      </c>
    </row>
    <row r="283" spans="1:1" x14ac:dyDescent="0.25">
      <c r="A283" s="7" t="s">
        <v>1985</v>
      </c>
    </row>
    <row r="284" spans="1:1" x14ac:dyDescent="0.25">
      <c r="A284" s="7" t="s">
        <v>1986</v>
      </c>
    </row>
    <row r="285" spans="1:1" x14ac:dyDescent="0.25">
      <c r="A285" s="7" t="s">
        <v>1987</v>
      </c>
    </row>
    <row r="286" spans="1:1" x14ac:dyDescent="0.25">
      <c r="A286" s="7" t="s">
        <v>1988</v>
      </c>
    </row>
    <row r="287" spans="1:1" x14ac:dyDescent="0.25">
      <c r="A287" s="7" t="s">
        <v>1989</v>
      </c>
    </row>
    <row r="288" spans="1:1" x14ac:dyDescent="0.25">
      <c r="A288" s="7" t="s">
        <v>1990</v>
      </c>
    </row>
    <row r="289" spans="1:1" x14ac:dyDescent="0.25">
      <c r="A289" s="7" t="s">
        <v>1991</v>
      </c>
    </row>
    <row r="290" spans="1:1" x14ac:dyDescent="0.25">
      <c r="A290" s="7" t="s">
        <v>1992</v>
      </c>
    </row>
    <row r="291" spans="1:1" x14ac:dyDescent="0.25">
      <c r="A291" s="7" t="s">
        <v>1993</v>
      </c>
    </row>
    <row r="292" spans="1:1" x14ac:dyDescent="0.25">
      <c r="A292" s="7" t="s">
        <v>1994</v>
      </c>
    </row>
    <row r="293" spans="1:1" x14ac:dyDescent="0.25">
      <c r="A293" s="7" t="s">
        <v>1995</v>
      </c>
    </row>
    <row r="294" spans="1:1" x14ac:dyDescent="0.25">
      <c r="A294" s="7" t="s">
        <v>1996</v>
      </c>
    </row>
    <row r="295" spans="1:1" x14ac:dyDescent="0.25">
      <c r="A295" s="7" t="s">
        <v>1997</v>
      </c>
    </row>
    <row r="296" spans="1:1" x14ac:dyDescent="0.25">
      <c r="A296" s="7" t="s">
        <v>1998</v>
      </c>
    </row>
    <row r="297" spans="1:1" x14ac:dyDescent="0.25">
      <c r="A297" s="7" t="s">
        <v>1999</v>
      </c>
    </row>
    <row r="298" spans="1:1" x14ac:dyDescent="0.25">
      <c r="A298" s="7" t="s">
        <v>2000</v>
      </c>
    </row>
    <row r="299" spans="1:1" x14ac:dyDescent="0.25">
      <c r="A299" s="7" t="s">
        <v>2001</v>
      </c>
    </row>
    <row r="300" spans="1:1" x14ac:dyDescent="0.25">
      <c r="A300" s="7" t="s">
        <v>2002</v>
      </c>
    </row>
    <row r="301" spans="1:1" x14ac:dyDescent="0.25">
      <c r="A301" s="7" t="s">
        <v>2003</v>
      </c>
    </row>
    <row r="302" spans="1:1" x14ac:dyDescent="0.25">
      <c r="A302" s="7" t="s">
        <v>2004</v>
      </c>
    </row>
    <row r="303" spans="1:1" x14ac:dyDescent="0.25">
      <c r="A303" s="7" t="s">
        <v>2005</v>
      </c>
    </row>
    <row r="304" spans="1:1" x14ac:dyDescent="0.25">
      <c r="A304" s="7" t="s">
        <v>2006</v>
      </c>
    </row>
    <row r="305" spans="1:1" x14ac:dyDescent="0.25">
      <c r="A305" s="7" t="s">
        <v>2007</v>
      </c>
    </row>
    <row r="306" spans="1:1" x14ac:dyDescent="0.25">
      <c r="A306" s="7" t="s">
        <v>2008</v>
      </c>
    </row>
    <row r="307" spans="1:1" x14ac:dyDescent="0.25">
      <c r="A307" s="7" t="s">
        <v>2009</v>
      </c>
    </row>
    <row r="308" spans="1:1" x14ac:dyDescent="0.25">
      <c r="A308" s="7" t="s">
        <v>2010</v>
      </c>
    </row>
    <row r="309" spans="1:1" x14ac:dyDescent="0.25">
      <c r="A309" s="7" t="s">
        <v>2011</v>
      </c>
    </row>
    <row r="310" spans="1:1" x14ac:dyDescent="0.25">
      <c r="A310" s="7" t="s">
        <v>2012</v>
      </c>
    </row>
    <row r="311" spans="1:1" x14ac:dyDescent="0.25">
      <c r="A311" s="7" t="s">
        <v>2013</v>
      </c>
    </row>
    <row r="312" spans="1:1" x14ac:dyDescent="0.25">
      <c r="A312" s="7" t="s">
        <v>2014</v>
      </c>
    </row>
    <row r="313" spans="1:1" x14ac:dyDescent="0.25">
      <c r="A313" s="7" t="s">
        <v>2015</v>
      </c>
    </row>
    <row r="314" spans="1:1" x14ac:dyDescent="0.25">
      <c r="A314" s="7" t="s">
        <v>2016</v>
      </c>
    </row>
    <row r="315" spans="1:1" x14ac:dyDescent="0.25">
      <c r="A315" s="7" t="s">
        <v>2017</v>
      </c>
    </row>
    <row r="316" spans="1:1" x14ac:dyDescent="0.25">
      <c r="A316" s="7" t="s">
        <v>2018</v>
      </c>
    </row>
    <row r="317" spans="1:1" x14ac:dyDescent="0.25">
      <c r="A317" s="7" t="s">
        <v>2019</v>
      </c>
    </row>
    <row r="318" spans="1:1" x14ac:dyDescent="0.25">
      <c r="A318" s="7" t="s">
        <v>2020</v>
      </c>
    </row>
    <row r="319" spans="1:1" x14ac:dyDescent="0.25">
      <c r="A319" s="7" t="s">
        <v>2021</v>
      </c>
    </row>
    <row r="320" spans="1:1" x14ac:dyDescent="0.25">
      <c r="A320" s="7" t="s">
        <v>2022</v>
      </c>
    </row>
    <row r="321" spans="1:1" x14ac:dyDescent="0.25">
      <c r="A321" s="7" t="s">
        <v>2023</v>
      </c>
    </row>
    <row r="322" spans="1:1" x14ac:dyDescent="0.25">
      <c r="A322" s="7" t="s">
        <v>2024</v>
      </c>
    </row>
    <row r="323" spans="1:1" x14ac:dyDescent="0.25">
      <c r="A323" s="7" t="s">
        <v>2025</v>
      </c>
    </row>
    <row r="324" spans="1:1" x14ac:dyDescent="0.25">
      <c r="A324" s="7" t="s">
        <v>2026</v>
      </c>
    </row>
    <row r="325" spans="1:1" x14ac:dyDescent="0.25">
      <c r="A325" s="7" t="s">
        <v>2027</v>
      </c>
    </row>
    <row r="326" spans="1:1" x14ac:dyDescent="0.25">
      <c r="A326" s="7" t="s">
        <v>2028</v>
      </c>
    </row>
    <row r="327" spans="1:1" x14ac:dyDescent="0.25">
      <c r="A327" s="7" t="s">
        <v>2029</v>
      </c>
    </row>
    <row r="328" spans="1:1" x14ac:dyDescent="0.25">
      <c r="A328" s="7" t="s">
        <v>2030</v>
      </c>
    </row>
    <row r="329" spans="1:1" x14ac:dyDescent="0.25">
      <c r="A329" s="7" t="s">
        <v>2031</v>
      </c>
    </row>
    <row r="330" spans="1:1" x14ac:dyDescent="0.25">
      <c r="A330" s="7" t="s">
        <v>2032</v>
      </c>
    </row>
    <row r="331" spans="1:1" x14ac:dyDescent="0.25">
      <c r="A331" s="7" t="s">
        <v>2033</v>
      </c>
    </row>
    <row r="332" spans="1:1" x14ac:dyDescent="0.25">
      <c r="A332" s="7" t="s">
        <v>2034</v>
      </c>
    </row>
    <row r="333" spans="1:1" x14ac:dyDescent="0.25">
      <c r="A333" s="7" t="s">
        <v>2035</v>
      </c>
    </row>
    <row r="334" spans="1:1" x14ac:dyDescent="0.25">
      <c r="A334" s="7" t="s">
        <v>2036</v>
      </c>
    </row>
    <row r="335" spans="1:1" x14ac:dyDescent="0.25">
      <c r="A335" s="7" t="s">
        <v>2037</v>
      </c>
    </row>
    <row r="336" spans="1:1" x14ac:dyDescent="0.25">
      <c r="A336" s="7" t="s">
        <v>2038</v>
      </c>
    </row>
    <row r="337" spans="1:1" x14ac:dyDescent="0.25">
      <c r="A337" s="7" t="s">
        <v>2039</v>
      </c>
    </row>
    <row r="338" spans="1:1" x14ac:dyDescent="0.25">
      <c r="A338" s="7" t="s">
        <v>2040</v>
      </c>
    </row>
    <row r="339" spans="1:1" x14ac:dyDescent="0.25">
      <c r="A339" s="7" t="s">
        <v>2041</v>
      </c>
    </row>
    <row r="340" spans="1:1" x14ac:dyDescent="0.25">
      <c r="A340" s="7" t="s">
        <v>2042</v>
      </c>
    </row>
    <row r="341" spans="1:1" x14ac:dyDescent="0.25">
      <c r="A341" s="7" t="s">
        <v>2043</v>
      </c>
    </row>
    <row r="342" spans="1:1" x14ac:dyDescent="0.25">
      <c r="A342" s="7" t="s">
        <v>2044</v>
      </c>
    </row>
    <row r="343" spans="1:1" x14ac:dyDescent="0.25">
      <c r="A343" s="7" t="s">
        <v>2045</v>
      </c>
    </row>
    <row r="344" spans="1:1" x14ac:dyDescent="0.25">
      <c r="A344" s="7" t="s">
        <v>2046</v>
      </c>
    </row>
    <row r="345" spans="1:1" x14ac:dyDescent="0.25">
      <c r="A345" s="7" t="s">
        <v>2047</v>
      </c>
    </row>
    <row r="346" spans="1:1" x14ac:dyDescent="0.25">
      <c r="A346" s="7" t="s">
        <v>2048</v>
      </c>
    </row>
    <row r="347" spans="1:1" x14ac:dyDescent="0.25">
      <c r="A347" s="7" t="s">
        <v>2049</v>
      </c>
    </row>
    <row r="348" spans="1:1" x14ac:dyDescent="0.25">
      <c r="A348" s="7" t="s">
        <v>2050</v>
      </c>
    </row>
    <row r="349" spans="1:1" x14ac:dyDescent="0.25">
      <c r="A349" s="7" t="s">
        <v>2051</v>
      </c>
    </row>
    <row r="350" spans="1:1" x14ac:dyDescent="0.25">
      <c r="A350" s="7" t="s">
        <v>2052</v>
      </c>
    </row>
    <row r="351" spans="1:1" x14ac:dyDescent="0.25">
      <c r="A351" s="7" t="s">
        <v>2053</v>
      </c>
    </row>
    <row r="352" spans="1:1" x14ac:dyDescent="0.25">
      <c r="A352" s="7" t="s">
        <v>2054</v>
      </c>
    </row>
    <row r="353" spans="1:1" x14ac:dyDescent="0.25">
      <c r="A353" s="7" t="s">
        <v>2055</v>
      </c>
    </row>
    <row r="354" spans="1:1" x14ac:dyDescent="0.25">
      <c r="A354" s="7" t="s">
        <v>2056</v>
      </c>
    </row>
    <row r="355" spans="1:1" x14ac:dyDescent="0.25">
      <c r="A355" s="7" t="s">
        <v>2057</v>
      </c>
    </row>
    <row r="356" spans="1:1" x14ac:dyDescent="0.25">
      <c r="A356" s="7" t="s">
        <v>2058</v>
      </c>
    </row>
    <row r="357" spans="1:1" x14ac:dyDescent="0.25">
      <c r="A357" s="7" t="s">
        <v>2059</v>
      </c>
    </row>
    <row r="358" spans="1:1" x14ac:dyDescent="0.25">
      <c r="A358" s="7" t="s">
        <v>2060</v>
      </c>
    </row>
    <row r="359" spans="1:1" x14ac:dyDescent="0.25">
      <c r="A359" s="7" t="s">
        <v>2061</v>
      </c>
    </row>
    <row r="360" spans="1:1" x14ac:dyDescent="0.25">
      <c r="A360" s="7" t="s">
        <v>2062</v>
      </c>
    </row>
    <row r="361" spans="1:1" x14ac:dyDescent="0.25">
      <c r="A361" s="7" t="s">
        <v>2063</v>
      </c>
    </row>
    <row r="362" spans="1:1" x14ac:dyDescent="0.25">
      <c r="A362" s="7" t="s">
        <v>2064</v>
      </c>
    </row>
    <row r="363" spans="1:1" x14ac:dyDescent="0.25">
      <c r="A363" s="7" t="s">
        <v>2065</v>
      </c>
    </row>
    <row r="364" spans="1:1" x14ac:dyDescent="0.25">
      <c r="A364" s="7" t="s">
        <v>2066</v>
      </c>
    </row>
    <row r="365" spans="1:1" x14ac:dyDescent="0.25">
      <c r="A365" s="7" t="s">
        <v>2067</v>
      </c>
    </row>
    <row r="366" spans="1:1" x14ac:dyDescent="0.25">
      <c r="A366" s="7" t="s">
        <v>2068</v>
      </c>
    </row>
    <row r="367" spans="1:1" x14ac:dyDescent="0.25">
      <c r="A367" s="7" t="s">
        <v>2069</v>
      </c>
    </row>
    <row r="368" spans="1:1" x14ac:dyDescent="0.25">
      <c r="A368" s="7" t="s">
        <v>2070</v>
      </c>
    </row>
    <row r="369" spans="1:1" x14ac:dyDescent="0.25">
      <c r="A369" s="7" t="s">
        <v>2071</v>
      </c>
    </row>
    <row r="370" spans="1:1" x14ac:dyDescent="0.25">
      <c r="A370" s="7" t="s">
        <v>2072</v>
      </c>
    </row>
    <row r="371" spans="1:1" x14ac:dyDescent="0.25">
      <c r="A371" s="7" t="s">
        <v>2073</v>
      </c>
    </row>
    <row r="372" spans="1:1" x14ac:dyDescent="0.25">
      <c r="A372" s="7" t="s">
        <v>2074</v>
      </c>
    </row>
    <row r="373" spans="1:1" x14ac:dyDescent="0.25">
      <c r="A373" s="7" t="s">
        <v>2075</v>
      </c>
    </row>
    <row r="374" spans="1:1" x14ac:dyDescent="0.25">
      <c r="A374" s="7" t="s">
        <v>2076</v>
      </c>
    </row>
    <row r="375" spans="1:1" x14ac:dyDescent="0.25">
      <c r="A375" s="7" t="s">
        <v>2077</v>
      </c>
    </row>
    <row r="376" spans="1:1" x14ac:dyDescent="0.25">
      <c r="A376" s="7" t="s">
        <v>2078</v>
      </c>
    </row>
    <row r="377" spans="1:1" x14ac:dyDescent="0.25">
      <c r="A377" s="7" t="s">
        <v>2079</v>
      </c>
    </row>
    <row r="378" spans="1:1" x14ac:dyDescent="0.25">
      <c r="A378" s="7" t="s">
        <v>2080</v>
      </c>
    </row>
    <row r="379" spans="1:1" x14ac:dyDescent="0.25">
      <c r="A379" s="7" t="s">
        <v>2081</v>
      </c>
    </row>
    <row r="380" spans="1:1" x14ac:dyDescent="0.25">
      <c r="A380" s="7" t="s">
        <v>2082</v>
      </c>
    </row>
    <row r="381" spans="1:1" x14ac:dyDescent="0.25">
      <c r="A381" s="7" t="s">
        <v>2083</v>
      </c>
    </row>
    <row r="382" spans="1:1" x14ac:dyDescent="0.25">
      <c r="A382" s="7" t="s">
        <v>2084</v>
      </c>
    </row>
    <row r="383" spans="1:1" x14ac:dyDescent="0.25">
      <c r="A383" s="7" t="s">
        <v>2085</v>
      </c>
    </row>
    <row r="384" spans="1:1" x14ac:dyDescent="0.25">
      <c r="A384" s="7" t="s">
        <v>2086</v>
      </c>
    </row>
    <row r="385" spans="1:1" x14ac:dyDescent="0.25">
      <c r="A385" s="7" t="s">
        <v>2087</v>
      </c>
    </row>
    <row r="386" spans="1:1" x14ac:dyDescent="0.25">
      <c r="A386" s="7" t="s">
        <v>2088</v>
      </c>
    </row>
    <row r="387" spans="1:1" x14ac:dyDescent="0.25">
      <c r="A387" s="7" t="s">
        <v>2089</v>
      </c>
    </row>
    <row r="388" spans="1:1" x14ac:dyDescent="0.25">
      <c r="A388" s="7" t="s">
        <v>2090</v>
      </c>
    </row>
    <row r="389" spans="1:1" x14ac:dyDescent="0.25">
      <c r="A389" s="7" t="s">
        <v>2091</v>
      </c>
    </row>
    <row r="390" spans="1:1" x14ac:dyDescent="0.25">
      <c r="A390" s="7" t="s">
        <v>2092</v>
      </c>
    </row>
    <row r="391" spans="1:1" x14ac:dyDescent="0.25">
      <c r="A391" s="7" t="s">
        <v>2093</v>
      </c>
    </row>
    <row r="392" spans="1:1" x14ac:dyDescent="0.25">
      <c r="A392" s="7" t="s">
        <v>2094</v>
      </c>
    </row>
    <row r="393" spans="1:1" x14ac:dyDescent="0.25">
      <c r="A393" s="7" t="s">
        <v>2095</v>
      </c>
    </row>
    <row r="394" spans="1:1" x14ac:dyDescent="0.25">
      <c r="A394" s="7" t="s">
        <v>2096</v>
      </c>
    </row>
    <row r="395" spans="1:1" x14ac:dyDescent="0.25">
      <c r="A395" s="7" t="s">
        <v>2097</v>
      </c>
    </row>
    <row r="396" spans="1:1" x14ac:dyDescent="0.25">
      <c r="A396" s="7" t="s">
        <v>2098</v>
      </c>
    </row>
    <row r="397" spans="1:1" x14ac:dyDescent="0.25">
      <c r="A397" s="7" t="s">
        <v>2099</v>
      </c>
    </row>
    <row r="398" spans="1:1" x14ac:dyDescent="0.25">
      <c r="A398" s="7" t="s">
        <v>2100</v>
      </c>
    </row>
    <row r="399" spans="1:1" x14ac:dyDescent="0.25">
      <c r="A399" s="7" t="s">
        <v>2101</v>
      </c>
    </row>
    <row r="400" spans="1:1" x14ac:dyDescent="0.25">
      <c r="A400" s="7" t="s">
        <v>2102</v>
      </c>
    </row>
    <row r="401" spans="1:1" x14ac:dyDescent="0.25">
      <c r="A401" s="7" t="s">
        <v>2103</v>
      </c>
    </row>
    <row r="402" spans="1:1" x14ac:dyDescent="0.25">
      <c r="A402" s="7" t="s">
        <v>2104</v>
      </c>
    </row>
    <row r="403" spans="1:1" x14ac:dyDescent="0.25">
      <c r="A403" s="7" t="s">
        <v>2105</v>
      </c>
    </row>
    <row r="404" spans="1:1" x14ac:dyDescent="0.25">
      <c r="A404" s="7" t="s">
        <v>2106</v>
      </c>
    </row>
    <row r="405" spans="1:1" x14ac:dyDescent="0.25">
      <c r="A405" s="7" t="s">
        <v>2107</v>
      </c>
    </row>
    <row r="406" spans="1:1" x14ac:dyDescent="0.25">
      <c r="A406" s="7" t="s">
        <v>2108</v>
      </c>
    </row>
    <row r="407" spans="1:1" x14ac:dyDescent="0.25">
      <c r="A407" s="7" t="s">
        <v>2109</v>
      </c>
    </row>
    <row r="408" spans="1:1" x14ac:dyDescent="0.25">
      <c r="A408" s="7" t="s">
        <v>2110</v>
      </c>
    </row>
    <row r="409" spans="1:1" x14ac:dyDescent="0.25">
      <c r="A409" s="7" t="s">
        <v>2111</v>
      </c>
    </row>
    <row r="410" spans="1:1" x14ac:dyDescent="0.25">
      <c r="A410" s="7" t="s">
        <v>2112</v>
      </c>
    </row>
    <row r="411" spans="1:1" x14ac:dyDescent="0.25">
      <c r="A411" s="7" t="s">
        <v>2113</v>
      </c>
    </row>
    <row r="412" spans="1:1" x14ac:dyDescent="0.25">
      <c r="A412" s="7" t="s">
        <v>2114</v>
      </c>
    </row>
    <row r="413" spans="1:1" x14ac:dyDescent="0.25">
      <c r="A413" s="7" t="s">
        <v>2115</v>
      </c>
    </row>
    <row r="414" spans="1:1" x14ac:dyDescent="0.25">
      <c r="A414" s="7" t="s">
        <v>2116</v>
      </c>
    </row>
    <row r="415" spans="1:1" x14ac:dyDescent="0.25">
      <c r="A415" s="7" t="s">
        <v>2117</v>
      </c>
    </row>
    <row r="416" spans="1:1" x14ac:dyDescent="0.25">
      <c r="A416" s="7" t="s">
        <v>2118</v>
      </c>
    </row>
    <row r="417" spans="1:1" x14ac:dyDescent="0.25">
      <c r="A417" s="7" t="s">
        <v>2119</v>
      </c>
    </row>
    <row r="418" spans="1:1" x14ac:dyDescent="0.25">
      <c r="A418" s="7" t="s">
        <v>2120</v>
      </c>
    </row>
    <row r="419" spans="1:1" x14ac:dyDescent="0.25">
      <c r="A419" s="7" t="s">
        <v>2121</v>
      </c>
    </row>
    <row r="420" spans="1:1" x14ac:dyDescent="0.25">
      <c r="A420" s="7" t="s">
        <v>2122</v>
      </c>
    </row>
    <row r="421" spans="1:1" x14ac:dyDescent="0.25">
      <c r="A421" s="7" t="s">
        <v>2123</v>
      </c>
    </row>
    <row r="422" spans="1:1" x14ac:dyDescent="0.25">
      <c r="A422" s="7" t="s">
        <v>2124</v>
      </c>
    </row>
    <row r="423" spans="1:1" x14ac:dyDescent="0.25">
      <c r="A423" s="7" t="s">
        <v>2125</v>
      </c>
    </row>
    <row r="424" spans="1:1" x14ac:dyDescent="0.25">
      <c r="A424" s="7" t="s">
        <v>2126</v>
      </c>
    </row>
    <row r="425" spans="1:1" x14ac:dyDescent="0.25">
      <c r="A425" s="7" t="s">
        <v>2127</v>
      </c>
    </row>
    <row r="426" spans="1:1" x14ac:dyDescent="0.25">
      <c r="A426" s="7" t="s">
        <v>2128</v>
      </c>
    </row>
    <row r="427" spans="1:1" x14ac:dyDescent="0.25">
      <c r="A427" s="7" t="s">
        <v>2129</v>
      </c>
    </row>
    <row r="428" spans="1:1" x14ac:dyDescent="0.25">
      <c r="A428" s="7" t="s">
        <v>2130</v>
      </c>
    </row>
    <row r="429" spans="1:1" x14ac:dyDescent="0.25">
      <c r="A429" s="7" t="s">
        <v>2131</v>
      </c>
    </row>
    <row r="430" spans="1:1" x14ac:dyDescent="0.25">
      <c r="A430" s="7" t="s">
        <v>2132</v>
      </c>
    </row>
    <row r="431" spans="1:1" x14ac:dyDescent="0.25">
      <c r="A431" s="7" t="s">
        <v>2133</v>
      </c>
    </row>
    <row r="432" spans="1:1" x14ac:dyDescent="0.25">
      <c r="A432" s="7" t="s">
        <v>2134</v>
      </c>
    </row>
    <row r="433" spans="1:1" x14ac:dyDescent="0.25">
      <c r="A433" s="7" t="s">
        <v>2135</v>
      </c>
    </row>
    <row r="434" spans="1:1" x14ac:dyDescent="0.25">
      <c r="A434" s="7" t="s">
        <v>2136</v>
      </c>
    </row>
    <row r="435" spans="1:1" x14ac:dyDescent="0.25">
      <c r="A435" s="7" t="s">
        <v>2137</v>
      </c>
    </row>
    <row r="436" spans="1:1" x14ac:dyDescent="0.25">
      <c r="A436" s="7" t="s">
        <v>2138</v>
      </c>
    </row>
    <row r="437" spans="1:1" x14ac:dyDescent="0.25">
      <c r="A437" s="7" t="s">
        <v>2139</v>
      </c>
    </row>
    <row r="438" spans="1:1" x14ac:dyDescent="0.25">
      <c r="A438" s="7" t="s">
        <v>2140</v>
      </c>
    </row>
    <row r="439" spans="1:1" x14ac:dyDescent="0.25">
      <c r="A439" s="7" t="s">
        <v>2141</v>
      </c>
    </row>
    <row r="440" spans="1:1" x14ac:dyDescent="0.25">
      <c r="A440" s="7" t="s">
        <v>2142</v>
      </c>
    </row>
    <row r="441" spans="1:1" x14ac:dyDescent="0.25">
      <c r="A441" s="7" t="s">
        <v>2143</v>
      </c>
    </row>
    <row r="442" spans="1:1" x14ac:dyDescent="0.25">
      <c r="A442" s="7" t="s">
        <v>2144</v>
      </c>
    </row>
    <row r="443" spans="1:1" x14ac:dyDescent="0.25">
      <c r="A443" s="7" t="s">
        <v>2145</v>
      </c>
    </row>
    <row r="444" spans="1:1" x14ac:dyDescent="0.25">
      <c r="A444" s="7" t="s">
        <v>2146</v>
      </c>
    </row>
    <row r="445" spans="1:1" x14ac:dyDescent="0.25">
      <c r="A445" s="7" t="s">
        <v>2147</v>
      </c>
    </row>
    <row r="446" spans="1:1" x14ac:dyDescent="0.25">
      <c r="A446" s="7" t="s">
        <v>2148</v>
      </c>
    </row>
    <row r="447" spans="1:1" x14ac:dyDescent="0.25">
      <c r="A447" s="7" t="s">
        <v>2149</v>
      </c>
    </row>
    <row r="448" spans="1:1" x14ac:dyDescent="0.25">
      <c r="A448" s="7" t="s">
        <v>2150</v>
      </c>
    </row>
    <row r="449" spans="1:1" x14ac:dyDescent="0.25">
      <c r="A449" s="7" t="s">
        <v>2151</v>
      </c>
    </row>
    <row r="450" spans="1:1" x14ac:dyDescent="0.25">
      <c r="A450" s="7" t="s">
        <v>2152</v>
      </c>
    </row>
    <row r="451" spans="1:1" x14ac:dyDescent="0.25">
      <c r="A451" s="7" t="s">
        <v>2153</v>
      </c>
    </row>
    <row r="452" spans="1:1" x14ac:dyDescent="0.25">
      <c r="A452" s="7" t="s">
        <v>2154</v>
      </c>
    </row>
    <row r="453" spans="1:1" x14ac:dyDescent="0.25">
      <c r="A453" s="7" t="s">
        <v>2155</v>
      </c>
    </row>
    <row r="454" spans="1:1" x14ac:dyDescent="0.25">
      <c r="A454" s="7" t="s">
        <v>2156</v>
      </c>
    </row>
    <row r="455" spans="1:1" x14ac:dyDescent="0.25">
      <c r="A455" s="7" t="s">
        <v>2157</v>
      </c>
    </row>
    <row r="456" spans="1:1" x14ac:dyDescent="0.25">
      <c r="A456" s="7" t="s">
        <v>2158</v>
      </c>
    </row>
    <row r="457" spans="1:1" x14ac:dyDescent="0.25">
      <c r="A457" s="7" t="s">
        <v>2159</v>
      </c>
    </row>
    <row r="458" spans="1:1" x14ac:dyDescent="0.25">
      <c r="A458" s="7" t="s">
        <v>2160</v>
      </c>
    </row>
    <row r="459" spans="1:1" x14ac:dyDescent="0.25">
      <c r="A459" s="7" t="s">
        <v>2161</v>
      </c>
    </row>
    <row r="460" spans="1:1" x14ac:dyDescent="0.25">
      <c r="A460" s="7" t="s">
        <v>2162</v>
      </c>
    </row>
    <row r="461" spans="1:1" x14ac:dyDescent="0.25">
      <c r="A461" s="7" t="s">
        <v>2163</v>
      </c>
    </row>
    <row r="462" spans="1:1" x14ac:dyDescent="0.25">
      <c r="A462" s="7" t="s">
        <v>2164</v>
      </c>
    </row>
    <row r="463" spans="1:1" x14ac:dyDescent="0.25">
      <c r="A463" s="7" t="s">
        <v>2165</v>
      </c>
    </row>
    <row r="464" spans="1:1" x14ac:dyDescent="0.25">
      <c r="A464" s="7" t="s">
        <v>2166</v>
      </c>
    </row>
    <row r="465" spans="1:1" x14ac:dyDescent="0.25">
      <c r="A465" s="7" t="s">
        <v>2167</v>
      </c>
    </row>
    <row r="466" spans="1:1" x14ac:dyDescent="0.25">
      <c r="A466" s="7" t="s">
        <v>2168</v>
      </c>
    </row>
    <row r="467" spans="1:1" x14ac:dyDescent="0.25">
      <c r="A467" s="7" t="s">
        <v>2169</v>
      </c>
    </row>
    <row r="468" spans="1:1" x14ac:dyDescent="0.25">
      <c r="A468" s="7" t="s">
        <v>2170</v>
      </c>
    </row>
    <row r="469" spans="1:1" x14ac:dyDescent="0.25">
      <c r="A469" s="7" t="s">
        <v>2171</v>
      </c>
    </row>
    <row r="470" spans="1:1" x14ac:dyDescent="0.25">
      <c r="A470" s="7" t="s">
        <v>2172</v>
      </c>
    </row>
    <row r="471" spans="1:1" x14ac:dyDescent="0.25">
      <c r="A471" s="7" t="s">
        <v>2173</v>
      </c>
    </row>
    <row r="472" spans="1:1" x14ac:dyDescent="0.25">
      <c r="A472" s="7" t="s">
        <v>2174</v>
      </c>
    </row>
    <row r="473" spans="1:1" x14ac:dyDescent="0.25">
      <c r="A473" s="7" t="s">
        <v>2175</v>
      </c>
    </row>
    <row r="474" spans="1:1" x14ac:dyDescent="0.25">
      <c r="A474" s="7" t="s">
        <v>2176</v>
      </c>
    </row>
    <row r="475" spans="1:1" x14ac:dyDescent="0.25">
      <c r="A475" s="7" t="s">
        <v>2177</v>
      </c>
    </row>
    <row r="476" spans="1:1" x14ac:dyDescent="0.25">
      <c r="A476" s="7" t="s">
        <v>2178</v>
      </c>
    </row>
    <row r="477" spans="1:1" x14ac:dyDescent="0.25">
      <c r="A477" s="7" t="s">
        <v>2179</v>
      </c>
    </row>
    <row r="478" spans="1:1" x14ac:dyDescent="0.25">
      <c r="A478" s="7" t="s">
        <v>2180</v>
      </c>
    </row>
    <row r="479" spans="1:1" x14ac:dyDescent="0.25">
      <c r="A479" s="7" t="s">
        <v>2181</v>
      </c>
    </row>
    <row r="480" spans="1:1" x14ac:dyDescent="0.25">
      <c r="A480" s="7" t="s">
        <v>2182</v>
      </c>
    </row>
    <row r="481" spans="1:1" x14ac:dyDescent="0.25">
      <c r="A481" s="7" t="s">
        <v>2183</v>
      </c>
    </row>
    <row r="482" spans="1:1" x14ac:dyDescent="0.25">
      <c r="A482" s="7" t="s">
        <v>2184</v>
      </c>
    </row>
    <row r="483" spans="1:1" x14ac:dyDescent="0.25">
      <c r="A483" s="7" t="s">
        <v>2185</v>
      </c>
    </row>
    <row r="484" spans="1:1" x14ac:dyDescent="0.25">
      <c r="A484" s="7" t="s">
        <v>2186</v>
      </c>
    </row>
    <row r="485" spans="1:1" x14ac:dyDescent="0.25">
      <c r="A485" s="7" t="s">
        <v>2187</v>
      </c>
    </row>
    <row r="486" spans="1:1" x14ac:dyDescent="0.25">
      <c r="A486" s="7" t="s">
        <v>2188</v>
      </c>
    </row>
    <row r="487" spans="1:1" x14ac:dyDescent="0.25">
      <c r="A487" s="7" t="s">
        <v>2189</v>
      </c>
    </row>
    <row r="488" spans="1:1" x14ac:dyDescent="0.25">
      <c r="A488" s="7" t="s">
        <v>2190</v>
      </c>
    </row>
    <row r="489" spans="1:1" x14ac:dyDescent="0.25">
      <c r="A489" s="7" t="s">
        <v>2191</v>
      </c>
    </row>
    <row r="490" spans="1:1" x14ac:dyDescent="0.25">
      <c r="A490" s="7" t="s">
        <v>2192</v>
      </c>
    </row>
    <row r="491" spans="1:1" x14ac:dyDescent="0.25">
      <c r="A491" s="7" t="s">
        <v>2193</v>
      </c>
    </row>
    <row r="492" spans="1:1" x14ac:dyDescent="0.25">
      <c r="A492" s="7" t="s">
        <v>2194</v>
      </c>
    </row>
    <row r="493" spans="1:1" x14ac:dyDescent="0.25">
      <c r="A493" s="7" t="s">
        <v>2195</v>
      </c>
    </row>
    <row r="494" spans="1:1" x14ac:dyDescent="0.25">
      <c r="A494" s="7" t="s">
        <v>2196</v>
      </c>
    </row>
    <row r="495" spans="1:1" x14ac:dyDescent="0.25">
      <c r="A495" s="7" t="s">
        <v>2197</v>
      </c>
    </row>
    <row r="496" spans="1:1" x14ac:dyDescent="0.25">
      <c r="A496" s="7" t="s">
        <v>2198</v>
      </c>
    </row>
    <row r="497" spans="1:1" x14ac:dyDescent="0.25">
      <c r="A497" s="7" t="s">
        <v>2199</v>
      </c>
    </row>
    <row r="498" spans="1:1" x14ac:dyDescent="0.25">
      <c r="A498" s="7" t="s">
        <v>2200</v>
      </c>
    </row>
    <row r="499" spans="1:1" x14ac:dyDescent="0.25">
      <c r="A499" s="7" t="s">
        <v>2201</v>
      </c>
    </row>
    <row r="500" spans="1:1" x14ac:dyDescent="0.25">
      <c r="A500" s="7" t="s">
        <v>2202</v>
      </c>
    </row>
    <row r="501" spans="1:1" x14ac:dyDescent="0.25">
      <c r="A501" s="7" t="s">
        <v>2203</v>
      </c>
    </row>
    <row r="502" spans="1:1" x14ac:dyDescent="0.25">
      <c r="A502" s="7" t="s">
        <v>2204</v>
      </c>
    </row>
    <row r="503" spans="1:1" x14ac:dyDescent="0.25">
      <c r="A503" s="7" t="s">
        <v>2205</v>
      </c>
    </row>
    <row r="504" spans="1:1" x14ac:dyDescent="0.25">
      <c r="A504" s="7" t="s">
        <v>2206</v>
      </c>
    </row>
    <row r="505" spans="1:1" x14ac:dyDescent="0.25">
      <c r="A505" s="7" t="s">
        <v>2207</v>
      </c>
    </row>
    <row r="506" spans="1:1" x14ac:dyDescent="0.25">
      <c r="A506" s="7" t="s">
        <v>2208</v>
      </c>
    </row>
    <row r="507" spans="1:1" x14ac:dyDescent="0.25">
      <c r="A507" s="7" t="s">
        <v>2209</v>
      </c>
    </row>
    <row r="508" spans="1:1" x14ac:dyDescent="0.25">
      <c r="A508" s="7" t="s">
        <v>2210</v>
      </c>
    </row>
    <row r="509" spans="1:1" x14ac:dyDescent="0.25">
      <c r="A509" s="7" t="s">
        <v>2211</v>
      </c>
    </row>
    <row r="510" spans="1:1" x14ac:dyDescent="0.25">
      <c r="A510" s="7" t="s">
        <v>2212</v>
      </c>
    </row>
    <row r="511" spans="1:1" x14ac:dyDescent="0.25">
      <c r="A511" s="7" t="s">
        <v>2213</v>
      </c>
    </row>
    <row r="512" spans="1:1" x14ac:dyDescent="0.25">
      <c r="A512" s="7" t="s">
        <v>2214</v>
      </c>
    </row>
    <row r="513" spans="1:1" x14ac:dyDescent="0.25">
      <c r="A513" s="7" t="s">
        <v>2215</v>
      </c>
    </row>
    <row r="514" spans="1:1" x14ac:dyDescent="0.25">
      <c r="A514" s="7" t="s">
        <v>2216</v>
      </c>
    </row>
    <row r="515" spans="1:1" x14ac:dyDescent="0.25">
      <c r="A515" s="7" t="s">
        <v>2217</v>
      </c>
    </row>
    <row r="516" spans="1:1" x14ac:dyDescent="0.25">
      <c r="A516" s="7" t="s">
        <v>2218</v>
      </c>
    </row>
    <row r="517" spans="1:1" x14ac:dyDescent="0.25">
      <c r="A517" s="7" t="s">
        <v>2219</v>
      </c>
    </row>
    <row r="518" spans="1:1" x14ac:dyDescent="0.25">
      <c r="A518" s="7" t="s">
        <v>2220</v>
      </c>
    </row>
    <row r="519" spans="1:1" x14ac:dyDescent="0.25">
      <c r="A519" s="7" t="s">
        <v>2221</v>
      </c>
    </row>
    <row r="520" spans="1:1" x14ac:dyDescent="0.25">
      <c r="A520" s="7" t="s">
        <v>2222</v>
      </c>
    </row>
    <row r="521" spans="1:1" x14ac:dyDescent="0.25">
      <c r="A521" s="7" t="s">
        <v>2223</v>
      </c>
    </row>
    <row r="522" spans="1:1" x14ac:dyDescent="0.25">
      <c r="A522" s="7" t="s">
        <v>2224</v>
      </c>
    </row>
    <row r="523" spans="1:1" x14ac:dyDescent="0.25">
      <c r="A523" s="7" t="s">
        <v>2225</v>
      </c>
    </row>
    <row r="524" spans="1:1" x14ac:dyDescent="0.25">
      <c r="A524" s="7" t="s">
        <v>2226</v>
      </c>
    </row>
    <row r="525" spans="1:1" x14ac:dyDescent="0.25">
      <c r="A525" s="7" t="s">
        <v>2227</v>
      </c>
    </row>
    <row r="526" spans="1:1" x14ac:dyDescent="0.25">
      <c r="A526" s="7" t="s">
        <v>2228</v>
      </c>
    </row>
    <row r="527" spans="1:1" x14ac:dyDescent="0.25">
      <c r="A527" s="7" t="s">
        <v>2229</v>
      </c>
    </row>
    <row r="528" spans="1:1" x14ac:dyDescent="0.25">
      <c r="A528" s="7" t="s">
        <v>2230</v>
      </c>
    </row>
    <row r="529" spans="1:1" x14ac:dyDescent="0.25">
      <c r="A529" s="7" t="s">
        <v>2231</v>
      </c>
    </row>
    <row r="530" spans="1:1" x14ac:dyDescent="0.25">
      <c r="A530" s="7" t="s">
        <v>7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&amp;C_x000D_&amp;1#&amp;"Aptos"&amp;9&amp;K000000 [M. Dias Branco - Interno]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a17ce5-4586-4fdd-bcf4-11f7c804f3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22231C35868F42967265A3A7F56CFF" ma:contentTypeVersion="15" ma:contentTypeDescription="Crie um novo documento." ma:contentTypeScope="" ma:versionID="83317a2157ad991ad2375d1c28e7eff3">
  <xsd:schema xmlns:xsd="http://www.w3.org/2001/XMLSchema" xmlns:xs="http://www.w3.org/2001/XMLSchema" xmlns:p="http://schemas.microsoft.com/office/2006/metadata/properties" xmlns:ns3="39a17ce5-4586-4fdd-bcf4-11f7c804f354" xmlns:ns4="205ad1b5-a945-438f-8eda-cae4a3a95c38" targetNamespace="http://schemas.microsoft.com/office/2006/metadata/properties" ma:root="true" ma:fieldsID="b608f4bdf454947bf3ff3b8aca6f268a" ns3:_="" ns4:_="">
    <xsd:import namespace="39a17ce5-4586-4fdd-bcf4-11f7c804f354"/>
    <xsd:import namespace="205ad1b5-a945-438f-8eda-cae4a3a95c3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17ce5-4586-4fdd-bcf4-11f7c804f35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ad1b5-a945-438f-8eda-cae4a3a95c3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4F6666-97F7-4D7C-9044-17965D5D20AC}">
  <ds:schemaRefs>
    <ds:schemaRef ds:uri="http://schemas.microsoft.com/office/2006/metadata/properties"/>
    <ds:schemaRef ds:uri="http://schemas.microsoft.com/office/infopath/2007/PartnerControls"/>
    <ds:schemaRef ds:uri="39a17ce5-4586-4fdd-bcf4-11f7c804f354"/>
  </ds:schemaRefs>
</ds:datastoreItem>
</file>

<file path=customXml/itemProps2.xml><?xml version="1.0" encoding="utf-8"?>
<ds:datastoreItem xmlns:ds="http://schemas.openxmlformats.org/officeDocument/2006/customXml" ds:itemID="{9DC35A58-3141-4D85-9B58-B493E070B0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7CF276-94A7-40FE-B293-B23A3D288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17ce5-4586-4fdd-bcf4-11f7c804f354"/>
    <ds:schemaRef ds:uri="205ad1b5-a945-438f-8eda-cae4a3a95c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4b49bd9-928a-44ba-a2c9-d08581c29055}" enabled="1" method="Privileged" siteId="{84af8994-fd57-4f96-ba02-1cb6450cbca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Índice</vt:lpstr>
      <vt:lpstr>Análise_GerCorp</vt:lpstr>
      <vt:lpstr>Relatorio</vt:lpstr>
      <vt:lpstr>Meta_Corp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dos Santos Junior</dc:creator>
  <cp:keywords/>
  <dc:description/>
  <cp:lastModifiedBy>Adriano dos Santos Junior</cp:lastModifiedBy>
  <cp:revision/>
  <dcterms:created xsi:type="dcterms:W3CDTF">2024-06-26T16:59:41Z</dcterms:created>
  <dcterms:modified xsi:type="dcterms:W3CDTF">2026-05-22T20:03:32Z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0x0101004322231C35868F42967265A3A7F56CFF</vt:lpwstr>
  </property>
</Properties>
</file>